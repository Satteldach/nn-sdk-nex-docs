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ome\dev\nex\NEX\Build\Document\ProgrammingManual\Manual\manual\nex\webapi\"/>
    </mc:Choice>
  </mc:AlternateContent>
  <bookViews>
    <workbookView xWindow="0" yWindow="0" windowWidth="17970" windowHeight="8010"/>
  </bookViews>
  <sheets>
    <sheet name="Normal" sheetId="1" r:id="rId1"/>
    <sheet name="LogNormal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2"/>
  <c r="B3" i="1"/>
  <c r="J1" i="2" l="1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F3" i="1"/>
  <c r="F4" i="1"/>
  <c r="F5" i="1"/>
  <c r="F6" i="1"/>
  <c r="F7" i="1"/>
  <c r="F8" i="1"/>
  <c r="F9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" i="1"/>
  <c r="G2" i="2" l="1"/>
  <c r="G23" i="2"/>
  <c r="G17" i="2"/>
  <c r="G81" i="2"/>
  <c r="G64" i="2"/>
  <c r="G63" i="2"/>
  <c r="G41" i="2"/>
  <c r="G40" i="2"/>
  <c r="G87" i="2"/>
  <c r="G80" i="2"/>
  <c r="G57" i="2"/>
  <c r="G39" i="2"/>
  <c r="G16" i="2"/>
  <c r="G97" i="2"/>
  <c r="G79" i="2"/>
  <c r="G56" i="2"/>
  <c r="G33" i="2"/>
  <c r="G15" i="2"/>
  <c r="G96" i="2"/>
  <c r="G73" i="2"/>
  <c r="G55" i="2"/>
  <c r="G32" i="2"/>
  <c r="G9" i="2"/>
  <c r="G72" i="2"/>
  <c r="G8" i="2"/>
  <c r="G89" i="2"/>
  <c r="G71" i="2"/>
  <c r="G48" i="2"/>
  <c r="G25" i="2"/>
  <c r="G7" i="2"/>
  <c r="G95" i="2"/>
  <c r="G49" i="2"/>
  <c r="G31" i="2"/>
  <c r="G88" i="2"/>
  <c r="G65" i="2"/>
  <c r="G47" i="2"/>
  <c r="G24" i="2"/>
  <c r="G5" i="2"/>
  <c r="G1" i="2"/>
  <c r="G94" i="2"/>
  <c r="G78" i="2"/>
  <c r="G70" i="2"/>
  <c r="G62" i="2"/>
  <c r="G54" i="2"/>
  <c r="G46" i="2"/>
  <c r="G38" i="2"/>
  <c r="G30" i="2"/>
  <c r="G22" i="2"/>
  <c r="G14" i="2"/>
  <c r="G6" i="2"/>
  <c r="G93" i="2"/>
  <c r="G77" i="2"/>
  <c r="G69" i="2"/>
  <c r="G61" i="2"/>
  <c r="G53" i="2"/>
  <c r="G45" i="2"/>
  <c r="G37" i="2"/>
  <c r="G29" i="2"/>
  <c r="G21" i="2"/>
  <c r="G13" i="2"/>
  <c r="G100" i="2"/>
  <c r="G92" i="2"/>
  <c r="G84" i="2"/>
  <c r="G76" i="2"/>
  <c r="G68" i="2"/>
  <c r="G60" i="2"/>
  <c r="G52" i="2"/>
  <c r="G44" i="2"/>
  <c r="G36" i="2"/>
  <c r="G28" i="2"/>
  <c r="G20" i="2"/>
  <c r="G12" i="2"/>
  <c r="G4" i="2"/>
  <c r="G99" i="2"/>
  <c r="G91" i="2"/>
  <c r="G83" i="2"/>
  <c r="G75" i="2"/>
  <c r="G67" i="2"/>
  <c r="G59" i="2"/>
  <c r="G51" i="2"/>
  <c r="G43" i="2"/>
  <c r="G35" i="2"/>
  <c r="G27" i="2"/>
  <c r="G19" i="2"/>
  <c r="G11" i="2"/>
  <c r="G3" i="2"/>
  <c r="G86" i="2"/>
  <c r="G85" i="2"/>
  <c r="G98" i="2"/>
  <c r="G90" i="2"/>
  <c r="G82" i="2"/>
  <c r="G74" i="2"/>
  <c r="G66" i="2"/>
  <c r="G58" i="2"/>
  <c r="G50" i="2"/>
  <c r="G42" i="2"/>
  <c r="G34" i="2"/>
  <c r="G26" i="2"/>
  <c r="G18" i="2"/>
  <c r="G10" i="2"/>
</calcChain>
</file>

<file path=xl/sharedStrings.xml><?xml version="1.0" encoding="utf-8"?>
<sst xmlns="http://schemas.openxmlformats.org/spreadsheetml/2006/main" count="9" uniqueCount="9">
  <si>
    <t>min(min_score)</t>
    <phoneticPr fontId="1"/>
  </si>
  <si>
    <t>max(max_score)</t>
    <phoneticPr fontId="1"/>
  </si>
  <si>
    <t>dist_param1(median)</t>
    <phoneticPr fontId="1"/>
  </si>
  <si>
    <t>dist_param2(sigma)</t>
    <phoneticPr fontId="1"/>
  </si>
  <si>
    <t>mu</t>
    <phoneticPr fontId="1"/>
  </si>
  <si>
    <t>min_score</t>
    <phoneticPr fontId="1"/>
  </si>
  <si>
    <t>max_score</t>
    <phoneticPr fontId="1"/>
  </si>
  <si>
    <t>dist_param1(mu, mean)</t>
    <phoneticPr fontId="1"/>
  </si>
  <si>
    <t>dist_param2(sigma, stdev)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</si>
</sst>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Normal Distribution</a:t>
            </a:r>
            <a:r>
              <a:rPr lang="en-US" altLang="ja-JP" baseline="0"/>
              <a:t> Curve (Probability Density Function)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Normal!$E$1:$E$101</c:f>
              <c:numCache>
                <c:formatCode>General</c:formatCode>
                <c:ptCount val="10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4050.0000000000005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8100.0000000000009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</c:numCache>
            </c:numRef>
          </c:xVal>
          <c:yVal>
            <c:numRef>
              <c:f>Normal!$F$1:$F$101</c:f>
              <c:numCache>
                <c:formatCode>General</c:formatCode>
                <c:ptCount val="101"/>
                <c:pt idx="0">
                  <c:v>2.8795182140366965E-5</c:v>
                </c:pt>
                <c:pt idx="1">
                  <c:v>3.3683499432105944E-5</c:v>
                </c:pt>
                <c:pt idx="2">
                  <c:v>3.9150300043550345E-5</c:v>
                </c:pt>
                <c:pt idx="3">
                  <c:v>4.5214059364278526E-5</c:v>
                </c:pt>
                <c:pt idx="4">
                  <c:v>5.1883876976782675E-5</c:v>
                </c:pt>
                <c:pt idx="5">
                  <c:v>5.9157778495709618E-5</c:v>
                </c:pt>
                <c:pt idx="6">
                  <c:v>6.702113962084701E-5</c:v>
                </c:pt>
                <c:pt idx="7">
                  <c:v>7.5445314786580693E-5</c:v>
                </c:pt>
                <c:pt idx="8">
                  <c:v>8.4386554864204281E-5</c:v>
                </c:pt>
                <c:pt idx="9">
                  <c:v>9.3785296158753267E-5</c:v>
                </c:pt>
                <c:pt idx="10">
                  <c:v>1.0356589599104692E-4</c:v>
                </c:pt>
                <c:pt idx="11">
                  <c:v>1.1363687828038285E-4</c:v>
                </c:pt>
                <c:pt idx="12">
                  <c:v>1.2389173586312865E-4</c:v>
                </c:pt>
                <c:pt idx="13">
                  <c:v>1.3421031525232913E-4</c:v>
                </c:pt>
                <c:pt idx="14">
                  <c:v>1.4446078495911359E-4</c:v>
                </c:pt>
                <c:pt idx="15">
                  <c:v>1.5450216147279078E-4</c:v>
                </c:pt>
                <c:pt idx="16">
                  <c:v>1.641873389172549E-4</c:v>
                </c:pt>
                <c:pt idx="17">
                  <c:v>1.7336654084484381E-4</c:v>
                </c:pt>
                <c:pt idx="18">
                  <c:v>1.8189108726952139E-4</c:v>
                </c:pt>
                <c:pt idx="19">
                  <c:v>1.8961734853653177E-4</c:v>
                </c:pt>
                <c:pt idx="20">
                  <c:v>1.9641074149510577E-4</c:v>
                </c:pt>
                <c:pt idx="21">
                  <c:v>2.0214961394810757E-4</c:v>
                </c:pt>
                <c:pt idx="22">
                  <c:v>2.0672886140000755E-4</c:v>
                </c:pt>
                <c:pt idx="23">
                  <c:v>2.1006312616988845E-4</c:v>
                </c:pt>
                <c:pt idx="24">
                  <c:v>2.1208944293952471E-4</c:v>
                </c:pt>
                <c:pt idx="25">
                  <c:v>2.1276921621409746E-4</c:v>
                </c:pt>
                <c:pt idx="26">
                  <c:v>2.1208944293952471E-4</c:v>
                </c:pt>
                <c:pt idx="27">
                  <c:v>2.1006312616988845E-4</c:v>
                </c:pt>
                <c:pt idx="28">
                  <c:v>2.0672886140000755E-4</c:v>
                </c:pt>
                <c:pt idx="29">
                  <c:v>2.0214961394810757E-4</c:v>
                </c:pt>
                <c:pt idx="30">
                  <c:v>1.9641074149510577E-4</c:v>
                </c:pt>
                <c:pt idx="31">
                  <c:v>1.8961734853653177E-4</c:v>
                </c:pt>
                <c:pt idx="32">
                  <c:v>1.8189108726952139E-4</c:v>
                </c:pt>
                <c:pt idx="33">
                  <c:v>1.7336654084484381E-4</c:v>
                </c:pt>
                <c:pt idx="34">
                  <c:v>1.641873389172549E-4</c:v>
                </c:pt>
                <c:pt idx="35">
                  <c:v>1.5450216147279078E-4</c:v>
                </c:pt>
                <c:pt idx="36">
                  <c:v>1.4446078495911359E-4</c:v>
                </c:pt>
                <c:pt idx="37">
                  <c:v>1.3421031525232913E-4</c:v>
                </c:pt>
                <c:pt idx="38">
                  <c:v>1.2389173586312865E-4</c:v>
                </c:pt>
                <c:pt idx="39">
                  <c:v>1.1363687828038285E-4</c:v>
                </c:pt>
                <c:pt idx="40">
                  <c:v>1.0356589599104692E-4</c:v>
                </c:pt>
                <c:pt idx="41">
                  <c:v>9.3785296158753267E-5</c:v>
                </c:pt>
                <c:pt idx="42">
                  <c:v>8.4386554864204281E-5</c:v>
                </c:pt>
                <c:pt idx="43">
                  <c:v>7.5445314786580693E-5</c:v>
                </c:pt>
                <c:pt idx="44">
                  <c:v>6.702113962084701E-5</c:v>
                </c:pt>
                <c:pt idx="45">
                  <c:v>5.9157778495709618E-5</c:v>
                </c:pt>
                <c:pt idx="46">
                  <c:v>5.1883876976782675E-5</c:v>
                </c:pt>
                <c:pt idx="47">
                  <c:v>4.5214059364278526E-5</c:v>
                </c:pt>
                <c:pt idx="48">
                  <c:v>3.9150300043550345E-5</c:v>
                </c:pt>
                <c:pt idx="49">
                  <c:v>3.3683499432105944E-5</c:v>
                </c:pt>
                <c:pt idx="50">
                  <c:v>2.8795182140366965E-5</c:v>
                </c:pt>
                <c:pt idx="51">
                  <c:v>2.4459240677895939E-5</c:v>
                </c:pt>
                <c:pt idx="52">
                  <c:v>2.0643656611976324E-5</c:v>
                </c:pt>
                <c:pt idx="53">
                  <c:v>1.7312141676638635E-5</c:v>
                </c:pt>
                <c:pt idx="54">
                  <c:v>1.4425653091670274E-5</c:v>
                </c:pt>
                <c:pt idx="55">
                  <c:v>1.194374949058288E-5</c:v>
                </c:pt>
                <c:pt idx="56">
                  <c:v>9.8257656783264247E-6</c:v>
                </c:pt>
                <c:pt idx="57">
                  <c:v>8.0317953746013064E-6</c:v>
                </c:pt>
                <c:pt idx="58">
                  <c:v>6.5234807206815844E-6</c:v>
                </c:pt>
                <c:pt idx="59">
                  <c:v>5.2646153572006037E-6</c:v>
                </c:pt>
                <c:pt idx="60">
                  <c:v>4.2215741775893166E-6</c:v>
                </c:pt>
                <c:pt idx="61">
                  <c:v>3.3635874113418278E-6</c:v>
                </c:pt>
                <c:pt idx="62">
                  <c:v>2.6628795805932674E-6</c:v>
                </c:pt>
                <c:pt idx="63">
                  <c:v>2.094695268759882E-6</c:v>
                </c:pt>
                <c:pt idx="64">
                  <c:v>1.6372337605891949E-6</c:v>
                </c:pt>
                <c:pt idx="65">
                  <c:v>1.2715137074479149E-6</c:v>
                </c:pt>
                <c:pt idx="66">
                  <c:v>9.8118729643961656E-7</c:v>
                </c:pt>
                <c:pt idx="67">
                  <c:v>7.5232120370207197E-7</c:v>
                </c:pt>
                <c:pt idx="68">
                  <c:v>5.7315911474865906E-7</c:v>
                </c:pt>
                <c:pt idx="69">
                  <c:v>4.3387798991029787E-7</c:v>
                </c:pt>
                <c:pt idx="70">
                  <c:v>3.2634769606067838E-7</c:v>
                </c:pt>
                <c:pt idx="71">
                  <c:v>2.4390123416525691E-7</c:v>
                </c:pt>
                <c:pt idx="72">
                  <c:v>1.8112064665794921E-7</c:v>
                </c:pt>
                <c:pt idx="73">
                  <c:v>1.3364183727512574E-7</c:v>
                </c:pt>
                <c:pt idx="74">
                  <c:v>9.7979998934643789E-8</c:v>
                </c:pt>
                <c:pt idx="75">
                  <c:v>7.1376120407938865E-8</c:v>
                </c:pt>
                <c:pt idx="76">
                  <c:v>5.1664111145983611E-8</c:v>
                </c:pt>
                <c:pt idx="77">
                  <c:v>3.715741566358098E-8</c:v>
                </c:pt>
                <c:pt idx="78">
                  <c:v>2.6553547785606447E-8</c:v>
                </c:pt>
                <c:pt idx="79">
                  <c:v>1.8854721600945649E-8</c:v>
                </c:pt>
                <c:pt idx="80">
                  <c:v>1.3302651354695218E-8</c:v>
                </c:pt>
                <c:pt idx="81">
                  <c:v>9.3256005475408726E-9</c:v>
                </c:pt>
                <c:pt idx="82">
                  <c:v>6.4958490508099725E-9</c:v>
                </c:pt>
                <c:pt idx="83">
                  <c:v>4.4958887377220121E-9</c:v>
                </c:pt>
                <c:pt idx="84">
                  <c:v>3.0918306700572198E-9</c:v>
                </c:pt>
                <c:pt idx="85">
                  <c:v>2.1126928485504402E-9</c:v>
                </c:pt>
                <c:pt idx="86">
                  <c:v>1.4344239862781458E-9</c:v>
                </c:pt>
                <c:pt idx="87">
                  <c:v>9.6769663476374944E-10</c:v>
                </c:pt>
                <c:pt idx="88">
                  <c:v>6.4866645276336961E-10</c:v>
                </c:pt>
                <c:pt idx="89">
                  <c:v>4.3204020209500504E-10</c:v>
                </c:pt>
                <c:pt idx="90">
                  <c:v>2.8592188505053939E-10</c:v>
                </c:pt>
                <c:pt idx="91">
                  <c:v>1.8801441667274868E-10</c:v>
                </c:pt>
                <c:pt idx="92">
                  <c:v>1.2284441602342434E-10</c:v>
                </c:pt>
                <c:pt idx="93">
                  <c:v>7.9751746755818225E-11</c:v>
                </c:pt>
                <c:pt idx="94">
                  <c:v>5.1445276182791381E-11</c:v>
                </c:pt>
                <c:pt idx="95">
                  <c:v>3.2973976000884571E-11</c:v>
                </c:pt>
                <c:pt idx="96">
                  <c:v>2.0999920338665867E-11</c:v>
                </c:pt>
                <c:pt idx="97">
                  <c:v>1.3288761052240529E-11</c:v>
                </c:pt>
                <c:pt idx="98">
                  <c:v>8.3554886336707043E-12</c:v>
                </c:pt>
                <c:pt idx="99">
                  <c:v>5.2201108866352955E-12</c:v>
                </c:pt>
                <c:pt idx="100">
                  <c:v>3.2404708532390857E-12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D1-4F52-9CAF-DBC5EA413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887552"/>
        <c:axId val="353886896"/>
      </c:scatterChart>
      <c:valAx>
        <c:axId val="35388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886896"/>
        <c:crosses val="autoZero"/>
        <c:crossBetween val="midCat"/>
      </c:valAx>
      <c:valAx>
        <c:axId val="3538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Probalility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88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LogNormal Distribution</a:t>
            </a:r>
            <a:r>
              <a:rPr lang="en-US" altLang="ja-JP" baseline="0"/>
              <a:t> Curve (Probability Density Function)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LogNormal!$F$1:$F$101</c:f>
              <c:numCache>
                <c:formatCode>General</c:formatCode>
                <c:ptCount val="101"/>
                <c:pt idx="0">
                  <c:v>10900</c:v>
                </c:pt>
                <c:pt idx="1">
                  <c:v>11800</c:v>
                </c:pt>
                <c:pt idx="2">
                  <c:v>12700</c:v>
                </c:pt>
                <c:pt idx="3">
                  <c:v>13600</c:v>
                </c:pt>
                <c:pt idx="4">
                  <c:v>14500</c:v>
                </c:pt>
                <c:pt idx="5">
                  <c:v>15400</c:v>
                </c:pt>
                <c:pt idx="6">
                  <c:v>16300</c:v>
                </c:pt>
                <c:pt idx="7">
                  <c:v>17200</c:v>
                </c:pt>
                <c:pt idx="8">
                  <c:v>18100</c:v>
                </c:pt>
                <c:pt idx="9">
                  <c:v>19000</c:v>
                </c:pt>
                <c:pt idx="10">
                  <c:v>19900</c:v>
                </c:pt>
                <c:pt idx="11">
                  <c:v>20800</c:v>
                </c:pt>
                <c:pt idx="12">
                  <c:v>21700</c:v>
                </c:pt>
                <c:pt idx="13">
                  <c:v>22600</c:v>
                </c:pt>
                <c:pt idx="14">
                  <c:v>23500</c:v>
                </c:pt>
                <c:pt idx="15">
                  <c:v>24400</c:v>
                </c:pt>
                <c:pt idx="16">
                  <c:v>25300</c:v>
                </c:pt>
                <c:pt idx="17">
                  <c:v>26200</c:v>
                </c:pt>
                <c:pt idx="18">
                  <c:v>27100</c:v>
                </c:pt>
                <c:pt idx="19">
                  <c:v>28000</c:v>
                </c:pt>
                <c:pt idx="20">
                  <c:v>28900</c:v>
                </c:pt>
                <c:pt idx="21">
                  <c:v>29800</c:v>
                </c:pt>
                <c:pt idx="22">
                  <c:v>30700</c:v>
                </c:pt>
                <c:pt idx="23">
                  <c:v>31600</c:v>
                </c:pt>
                <c:pt idx="24">
                  <c:v>32500</c:v>
                </c:pt>
                <c:pt idx="25">
                  <c:v>33400</c:v>
                </c:pt>
                <c:pt idx="26">
                  <c:v>34300</c:v>
                </c:pt>
                <c:pt idx="27">
                  <c:v>35200</c:v>
                </c:pt>
                <c:pt idx="28">
                  <c:v>36100</c:v>
                </c:pt>
                <c:pt idx="29">
                  <c:v>37000</c:v>
                </c:pt>
                <c:pt idx="30">
                  <c:v>37900</c:v>
                </c:pt>
                <c:pt idx="31">
                  <c:v>38800</c:v>
                </c:pt>
                <c:pt idx="32">
                  <c:v>39700</c:v>
                </c:pt>
                <c:pt idx="33">
                  <c:v>40600</c:v>
                </c:pt>
                <c:pt idx="34">
                  <c:v>41500</c:v>
                </c:pt>
                <c:pt idx="35">
                  <c:v>42400</c:v>
                </c:pt>
                <c:pt idx="36">
                  <c:v>43300</c:v>
                </c:pt>
                <c:pt idx="37">
                  <c:v>44200</c:v>
                </c:pt>
                <c:pt idx="38">
                  <c:v>45100</c:v>
                </c:pt>
                <c:pt idx="39">
                  <c:v>46000</c:v>
                </c:pt>
                <c:pt idx="40">
                  <c:v>46900</c:v>
                </c:pt>
                <c:pt idx="41">
                  <c:v>47800</c:v>
                </c:pt>
                <c:pt idx="42">
                  <c:v>48700</c:v>
                </c:pt>
                <c:pt idx="43">
                  <c:v>49600</c:v>
                </c:pt>
                <c:pt idx="44">
                  <c:v>50500</c:v>
                </c:pt>
                <c:pt idx="45">
                  <c:v>51400</c:v>
                </c:pt>
                <c:pt idx="46">
                  <c:v>52300</c:v>
                </c:pt>
                <c:pt idx="47">
                  <c:v>53200</c:v>
                </c:pt>
                <c:pt idx="48">
                  <c:v>54100</c:v>
                </c:pt>
                <c:pt idx="49">
                  <c:v>55000</c:v>
                </c:pt>
                <c:pt idx="50">
                  <c:v>55900</c:v>
                </c:pt>
                <c:pt idx="51">
                  <c:v>56800</c:v>
                </c:pt>
                <c:pt idx="52">
                  <c:v>57700</c:v>
                </c:pt>
                <c:pt idx="53">
                  <c:v>58600</c:v>
                </c:pt>
                <c:pt idx="54">
                  <c:v>59500.000000000007</c:v>
                </c:pt>
                <c:pt idx="55">
                  <c:v>60400.000000000007</c:v>
                </c:pt>
                <c:pt idx="56">
                  <c:v>61299.999999999993</c:v>
                </c:pt>
                <c:pt idx="57">
                  <c:v>62200</c:v>
                </c:pt>
                <c:pt idx="58">
                  <c:v>63100</c:v>
                </c:pt>
                <c:pt idx="59">
                  <c:v>64000</c:v>
                </c:pt>
                <c:pt idx="60">
                  <c:v>64900</c:v>
                </c:pt>
                <c:pt idx="61">
                  <c:v>65800</c:v>
                </c:pt>
                <c:pt idx="62">
                  <c:v>66700</c:v>
                </c:pt>
                <c:pt idx="63">
                  <c:v>67600</c:v>
                </c:pt>
                <c:pt idx="64">
                  <c:v>68500</c:v>
                </c:pt>
                <c:pt idx="65">
                  <c:v>69400</c:v>
                </c:pt>
                <c:pt idx="66">
                  <c:v>70300</c:v>
                </c:pt>
                <c:pt idx="67">
                  <c:v>71200</c:v>
                </c:pt>
                <c:pt idx="68">
                  <c:v>72100</c:v>
                </c:pt>
                <c:pt idx="69">
                  <c:v>73000</c:v>
                </c:pt>
                <c:pt idx="70">
                  <c:v>73900</c:v>
                </c:pt>
                <c:pt idx="71">
                  <c:v>74800</c:v>
                </c:pt>
                <c:pt idx="72">
                  <c:v>75700</c:v>
                </c:pt>
                <c:pt idx="73">
                  <c:v>76600</c:v>
                </c:pt>
                <c:pt idx="74">
                  <c:v>77500</c:v>
                </c:pt>
                <c:pt idx="75">
                  <c:v>78400</c:v>
                </c:pt>
                <c:pt idx="76">
                  <c:v>79300</c:v>
                </c:pt>
                <c:pt idx="77">
                  <c:v>80200</c:v>
                </c:pt>
                <c:pt idx="78">
                  <c:v>81100</c:v>
                </c:pt>
                <c:pt idx="79">
                  <c:v>82000</c:v>
                </c:pt>
                <c:pt idx="80">
                  <c:v>82900</c:v>
                </c:pt>
                <c:pt idx="81">
                  <c:v>83800</c:v>
                </c:pt>
                <c:pt idx="82">
                  <c:v>84700</c:v>
                </c:pt>
                <c:pt idx="83">
                  <c:v>85600</c:v>
                </c:pt>
                <c:pt idx="84">
                  <c:v>86500</c:v>
                </c:pt>
                <c:pt idx="85">
                  <c:v>87400</c:v>
                </c:pt>
                <c:pt idx="86">
                  <c:v>88300</c:v>
                </c:pt>
                <c:pt idx="87">
                  <c:v>89200</c:v>
                </c:pt>
                <c:pt idx="88">
                  <c:v>90100</c:v>
                </c:pt>
                <c:pt idx="89">
                  <c:v>91000</c:v>
                </c:pt>
                <c:pt idx="90">
                  <c:v>91900</c:v>
                </c:pt>
                <c:pt idx="91">
                  <c:v>92800</c:v>
                </c:pt>
                <c:pt idx="92">
                  <c:v>93700</c:v>
                </c:pt>
                <c:pt idx="93">
                  <c:v>94600</c:v>
                </c:pt>
                <c:pt idx="94">
                  <c:v>95500</c:v>
                </c:pt>
                <c:pt idx="95">
                  <c:v>96400</c:v>
                </c:pt>
                <c:pt idx="96">
                  <c:v>97300</c:v>
                </c:pt>
                <c:pt idx="97">
                  <c:v>98200</c:v>
                </c:pt>
                <c:pt idx="98">
                  <c:v>99100</c:v>
                </c:pt>
                <c:pt idx="99">
                  <c:v>100000</c:v>
                </c:pt>
              </c:numCache>
            </c:numRef>
          </c:xVal>
          <c:yVal>
            <c:numRef>
              <c:f>LogNormal!$G$1:$G$101</c:f>
              <c:numCache>
                <c:formatCode>General</c:formatCode>
                <c:ptCount val="101"/>
                <c:pt idx="0">
                  <c:v>8.8737452147448118E-13</c:v>
                </c:pt>
                <c:pt idx="1">
                  <c:v>1.2754794805068564E-9</c:v>
                </c:pt>
                <c:pt idx="2">
                  <c:v>3.679759561273293E-8</c:v>
                </c:pt>
                <c:pt idx="3">
                  <c:v>2.6829194035635256E-7</c:v>
                </c:pt>
                <c:pt idx="4">
                  <c:v>9.9730936785740906E-7</c:v>
                </c:pt>
                <c:pt idx="5">
                  <c:v>2.5149245112557564E-6</c:v>
                </c:pt>
                <c:pt idx="6">
                  <c:v>4.9556635266645633E-6</c:v>
                </c:pt>
                <c:pt idx="7">
                  <c:v>8.2586565490021676E-6</c:v>
                </c:pt>
                <c:pt idx="8">
                  <c:v>1.2213688384416249E-5</c:v>
                </c:pt>
                <c:pt idx="9">
                  <c:v>1.6536365713968287E-5</c:v>
                </c:pt>
                <c:pt idx="10">
                  <c:v>2.0934762095425469E-5</c:v>
                </c:pt>
                <c:pt idx="11">
                  <c:v>2.5153480893365464E-5</c:v>
                </c:pt>
                <c:pt idx="12">
                  <c:v>2.8995348917937125E-5</c:v>
                </c:pt>
                <c:pt idx="13">
                  <c:v>3.2326526191316087E-5</c:v>
                </c:pt>
                <c:pt idx="14">
                  <c:v>3.5071491942819478E-5</c:v>
                </c:pt>
                <c:pt idx="15">
                  <c:v>3.7203072941083277E-5</c:v>
                </c:pt>
                <c:pt idx="16">
                  <c:v>3.8730987867734036E-5</c:v>
                </c:pt>
                <c:pt idx="17">
                  <c:v>3.9690935634104848E-5</c:v>
                </c:pt>
                <c:pt idx="18">
                  <c:v>4.0135221814227441E-5</c:v>
                </c:pt>
                <c:pt idx="19">
                  <c:v>4.0125260733291002E-5</c:v>
                </c:pt>
                <c:pt idx="20">
                  <c:v>3.9725917047563995E-5</c:v>
                </c:pt>
                <c:pt idx="21">
                  <c:v>3.900146645736989E-5</c:v>
                </c:pt>
                <c:pt idx="22">
                  <c:v>3.8012887259792961E-5</c:v>
                </c:pt>
                <c:pt idx="23">
                  <c:v>3.6816191733848187E-5</c:v>
                </c:pt>
                <c:pt idx="24">
                  <c:v>3.5461536035682961E-5</c:v>
                </c:pt>
                <c:pt idx="25">
                  <c:v>3.399288966660766E-5</c:v>
                </c:pt>
                <c:pt idx="26">
                  <c:v>3.2448089696671462E-5</c:v>
                </c:pt>
                <c:pt idx="27">
                  <c:v>3.0859145284212345E-5</c:v>
                </c:pt>
                <c:pt idx="28">
                  <c:v>2.9252692366803312E-5</c:v>
                </c:pt>
                <c:pt idx="29">
                  <c:v>2.7650526245923856E-5</c:v>
                </c:pt>
                <c:pt idx="30">
                  <c:v>2.6070161589745537E-5</c:v>
                </c:pt>
                <c:pt idx="31">
                  <c:v>2.4525385967465311E-5</c:v>
                </c:pt>
                <c:pt idx="32">
                  <c:v>2.3026785336861713E-5</c:v>
                </c:pt>
                <c:pt idx="33">
                  <c:v>2.1582228819605788E-5</c:v>
                </c:pt>
                <c:pt idx="34">
                  <c:v>2.0197306389719416E-5</c:v>
                </c:pt>
                <c:pt idx="35">
                  <c:v>1.8875717411422306E-5</c:v>
                </c:pt>
                <c:pt idx="36">
                  <c:v>1.7619610807878037E-5</c:v>
                </c:pt>
                <c:pt idx="37">
                  <c:v>1.6429879423721357E-5</c:v>
                </c:pt>
                <c:pt idx="38">
                  <c:v>1.5306412168822427E-5</c:v>
                </c:pt>
                <c:pt idx="39">
                  <c:v>1.4248308029211809E-5</c:v>
                </c:pt>
                <c:pt idx="40">
                  <c:v>1.3254056173902503E-5</c:v>
                </c:pt>
                <c:pt idx="41">
                  <c:v>1.232168629754576E-5</c:v>
                </c:pt>
                <c:pt idx="42">
                  <c:v>1.1448893107157044E-5</c:v>
                </c:pt>
                <c:pt idx="43">
                  <c:v>1.0633138548920837E-5</c:v>
                </c:pt>
                <c:pt idx="44">
                  <c:v>9.8717350211918934E-6</c:v>
                </c:pt>
                <c:pt idx="45">
                  <c:v>9.1619124609281848E-6</c:v>
                </c:pt>
                <c:pt idx="46">
                  <c:v>8.5008718413845428E-6</c:v>
                </c:pt>
                <c:pt idx="47">
                  <c:v>7.8858272901989245E-6</c:v>
                </c:pt>
                <c:pt idx="48">
                  <c:v>7.3140387352101711E-6</c:v>
                </c:pt>
                <c:pt idx="49">
                  <c:v>6.7828367132242682E-6</c:v>
                </c:pt>
                <c:pt idx="50">
                  <c:v>6.2896407349859485E-6</c:v>
                </c:pt>
                <c:pt idx="51">
                  <c:v>5.8319723868491207E-6</c:v>
                </c:pt>
                <c:pt idx="52">
                  <c:v>5.4074641642482699E-6</c:v>
                </c:pt>
                <c:pt idx="53">
                  <c:v>5.0138648717485659E-6</c:v>
                </c:pt>
                <c:pt idx="54">
                  <c:v>4.6490422867019355E-6</c:v>
                </c:pt>
                <c:pt idx="55">
                  <c:v>4.3109836658390414E-6</c:v>
                </c:pt>
                <c:pt idx="56">
                  <c:v>3.9977945740644627E-6</c:v>
                </c:pt>
                <c:pt idx="57">
                  <c:v>3.7076964300295632E-6</c:v>
                </c:pt>
                <c:pt idx="58">
                  <c:v>3.4390230916664345E-6</c:v>
                </c:pt>
                <c:pt idx="59">
                  <c:v>3.1902167449215775E-6</c:v>
                </c:pt>
                <c:pt idx="60">
                  <c:v>2.959823308777203E-6</c:v>
                </c:pt>
                <c:pt idx="61">
                  <c:v>2.7464875278433531E-6</c:v>
                </c:pt>
                <c:pt idx="62">
                  <c:v>2.5489478890812532E-6</c:v>
                </c:pt>
                <c:pt idx="63">
                  <c:v>2.3660314704842863E-6</c:v>
                </c:pt>
                <c:pt idx="64">
                  <c:v>2.1966488058544841E-6</c:v>
                </c:pt>
                <c:pt idx="65">
                  <c:v>2.0397888303646954E-6</c:v>
                </c:pt>
                <c:pt idx="66">
                  <c:v>1.894513955698987E-6</c:v>
                </c:pt>
                <c:pt idx="67">
                  <c:v>1.7599553106332918E-6</c:v>
                </c:pt>
                <c:pt idx="68">
                  <c:v>1.635308172457538E-6</c:v>
                </c:pt>
                <c:pt idx="69">
                  <c:v>1.5198276062313474E-6</c:v>
                </c:pt>
                <c:pt idx="70">
                  <c:v>1.4128243221551986E-6</c:v>
                </c:pt>
                <c:pt idx="71">
                  <c:v>1.3136607560307072E-6</c:v>
                </c:pt>
                <c:pt idx="72">
                  <c:v>1.2217473736293911E-6</c:v>
                </c:pt>
                <c:pt idx="73">
                  <c:v>1.1365391965805445E-6</c:v>
                </c:pt>
                <c:pt idx="74">
                  <c:v>1.0575325449527303E-6</c:v>
                </c:pt>
                <c:pt idx="75">
                  <c:v>9.8426198989515343E-7</c:v>
                </c:pt>
                <c:pt idx="76">
                  <c:v>9.1629750840471454E-7</c:v>
                </c:pt>
                <c:pt idx="77">
                  <c:v>8.5324183139323564E-7</c:v>
                </c:pt>
                <c:pt idx="78">
                  <c:v>7.9472797566364601E-7</c:v>
                </c:pt>
                <c:pt idx="79">
                  <c:v>7.4041695009785984E-7</c:v>
                </c:pt>
                <c:pt idx="80">
                  <c:v>6.8999562625536961E-7</c:v>
                </c:pt>
                <c:pt idx="81">
                  <c:v>6.4317476363568507E-7</c:v>
                </c:pt>
                <c:pt idx="82">
                  <c:v>5.9968718003200157E-7</c:v>
                </c:pt>
                <c:pt idx="83">
                  <c:v>5.5928605766765733E-7</c:v>
                </c:pt>
                <c:pt idx="84">
                  <c:v>5.2174337613672364E-7</c:v>
                </c:pt>
                <c:pt idx="85">
                  <c:v>4.8684846354527564E-7</c:v>
                </c:pt>
                <c:pt idx="86">
                  <c:v>4.5440665765565258E-7</c:v>
                </c:pt>
                <c:pt idx="87">
                  <c:v>4.2423806925841543E-7</c:v>
                </c:pt>
                <c:pt idx="88">
                  <c:v>3.961764404275764E-7</c:v>
                </c:pt>
                <c:pt idx="89">
                  <c:v>3.7006809074466815E-7</c:v>
                </c:pt>
                <c:pt idx="90">
                  <c:v>3.4577094500173307E-7</c:v>
                </c:pt>
                <c:pt idx="91">
                  <c:v>3.2315363630736823E-7</c:v>
                </c:pt>
                <c:pt idx="92">
                  <c:v>3.0209467891993893E-7</c:v>
                </c:pt>
                <c:pt idx="93">
                  <c:v>2.8248170551675761E-7</c:v>
                </c:pt>
                <c:pt idx="94">
                  <c:v>2.642107639744596E-7</c:v>
                </c:pt>
                <c:pt idx="95">
                  <c:v>2.4718566908430126E-7</c:v>
                </c:pt>
                <c:pt idx="96">
                  <c:v>2.3131740495532303E-7</c:v>
                </c:pt>
                <c:pt idx="97">
                  <c:v>2.165235741686665E-7</c:v>
                </c:pt>
                <c:pt idx="98">
                  <c:v>2.0272789003764769E-7</c:v>
                </c:pt>
                <c:pt idx="99">
                  <c:v>1.8985970860120067E-7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78-46C2-A144-B9A13C54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887552"/>
        <c:axId val="353886896"/>
      </c:scatterChart>
      <c:valAx>
        <c:axId val="35388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886896"/>
        <c:crosses val="autoZero"/>
        <c:crossBetween val="midCat"/>
      </c:valAx>
      <c:valAx>
        <c:axId val="35388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Probability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88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28575</xdr:rowOff>
    </xdr:from>
    <xdr:to>
      <xdr:col>15</xdr:col>
      <xdr:colOff>0</xdr:colOff>
      <xdr:row>26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0B0FB6C-45B9-4490-834E-F9AF532CB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352426</xdr:colOff>
      <xdr:row>0</xdr:row>
      <xdr:rowOff>0</xdr:rowOff>
    </xdr:from>
    <xdr:to>
      <xdr:col>13</xdr:col>
      <xdr:colOff>676276</xdr:colOff>
      <xdr:row>25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8DC58C-29FA-4132-82E7-ACE1AD8D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8.75" x14ac:dyDescent="0.4"/>
  <cols>
    <col min="1" max="1" width="25.375" customWidth="1"/>
    <col min="2" max="2" width="10.75" customWidth="1"/>
  </cols>
  <sheetData>
    <row r="1" spans="1:6" x14ac:dyDescent="0.4">
      <c r="A1" t="s">
        <v>5</v>
      </c>
      <c r="B1">
        <v>0</v>
      </c>
      <c r="D1">
        <v>0</v>
      </c>
      <c r="E1">
        <f>($B$2-$B$1)*D1+$B$1</f>
        <v>0</v>
      </c>
      <c r="F1">
        <f>_xlfn.NORM.DIST(E1,$B$3,$B$4,FALSE)</f>
        <v>2.8795182140366965E-5</v>
      </c>
    </row>
    <row r="2" spans="1:6" x14ac:dyDescent="0.4">
      <c r="A2" t="s">
        <v>6</v>
      </c>
      <c r="B2">
        <v>15000</v>
      </c>
      <c r="D2">
        <v>0.01</v>
      </c>
      <c r="E2">
        <f t="shared" ref="E2:E65" si="0">($B$2-$B$1)*D2+$B$1</f>
        <v>150</v>
      </c>
      <c r="F2">
        <f t="shared" ref="F2:F65" si="1">_xlfn.NORM.DIST(E2,$B$3,$B$4,FALSE)</f>
        <v>3.3683499432105944E-5</v>
      </c>
    </row>
    <row r="3" spans="1:6" x14ac:dyDescent="0.4">
      <c r="A3" t="s">
        <v>7</v>
      </c>
      <c r="B3">
        <f>$B$1*3/4+$B$2*1/4</f>
        <v>3750</v>
      </c>
      <c r="D3">
        <v>0.02</v>
      </c>
      <c r="E3">
        <f t="shared" si="0"/>
        <v>300</v>
      </c>
      <c r="F3">
        <f t="shared" si="1"/>
        <v>3.9150300043550345E-5</v>
      </c>
    </row>
    <row r="4" spans="1:6" x14ac:dyDescent="0.4">
      <c r="A4" t="s">
        <v>8</v>
      </c>
      <c r="B4">
        <f>($B$2-$B$1)/8</f>
        <v>1875</v>
      </c>
      <c r="D4">
        <v>0.03</v>
      </c>
      <c r="E4">
        <f t="shared" si="0"/>
        <v>450</v>
      </c>
      <c r="F4">
        <f t="shared" si="1"/>
        <v>4.5214059364278526E-5</v>
      </c>
    </row>
    <row r="5" spans="1:6" x14ac:dyDescent="0.4">
      <c r="D5">
        <v>0.04</v>
      </c>
      <c r="E5">
        <f t="shared" si="0"/>
        <v>600</v>
      </c>
      <c r="F5">
        <f t="shared" si="1"/>
        <v>5.1883876976782675E-5</v>
      </c>
    </row>
    <row r="6" spans="1:6" x14ac:dyDescent="0.4">
      <c r="D6">
        <v>0.05</v>
      </c>
      <c r="E6">
        <f t="shared" si="0"/>
        <v>750</v>
      </c>
      <c r="F6">
        <f t="shared" si="1"/>
        <v>5.9157778495709618E-5</v>
      </c>
    </row>
    <row r="7" spans="1:6" x14ac:dyDescent="0.4">
      <c r="D7">
        <v>0.06</v>
      </c>
      <c r="E7">
        <f t="shared" si="0"/>
        <v>900</v>
      </c>
      <c r="F7">
        <f t="shared" si="1"/>
        <v>6.702113962084701E-5</v>
      </c>
    </row>
    <row r="8" spans="1:6" x14ac:dyDescent="0.4">
      <c r="D8">
        <v>7.0000000000000007E-2</v>
      </c>
      <c r="E8">
        <f t="shared" si="0"/>
        <v>1050</v>
      </c>
      <c r="F8">
        <f t="shared" si="1"/>
        <v>7.5445314786580693E-5</v>
      </c>
    </row>
    <row r="9" spans="1:6" x14ac:dyDescent="0.4">
      <c r="D9">
        <v>0.08</v>
      </c>
      <c r="E9">
        <f t="shared" si="0"/>
        <v>1200</v>
      </c>
      <c r="F9">
        <f t="shared" si="1"/>
        <v>8.4386554864204281E-5</v>
      </c>
    </row>
    <row r="10" spans="1:6" x14ac:dyDescent="0.4">
      <c r="D10">
        <v>0.09</v>
      </c>
      <c r="E10">
        <f t="shared" si="0"/>
        <v>1350</v>
      </c>
      <c r="F10">
        <f t="shared" si="1"/>
        <v>9.3785296158753267E-5</v>
      </c>
    </row>
    <row r="11" spans="1:6" x14ac:dyDescent="0.4">
      <c r="D11">
        <v>0.1</v>
      </c>
      <c r="E11">
        <f t="shared" si="0"/>
        <v>1500</v>
      </c>
      <c r="F11">
        <f t="shared" si="1"/>
        <v>1.0356589599104692E-4</v>
      </c>
    </row>
    <row r="12" spans="1:6" x14ac:dyDescent="0.4">
      <c r="D12">
        <v>0.11</v>
      </c>
      <c r="E12">
        <f t="shared" si="0"/>
        <v>1650</v>
      </c>
      <c r="F12">
        <f t="shared" si="1"/>
        <v>1.1363687828038285E-4</v>
      </c>
    </row>
    <row r="13" spans="1:6" x14ac:dyDescent="0.4">
      <c r="D13">
        <v>0.12</v>
      </c>
      <c r="E13">
        <f t="shared" si="0"/>
        <v>1800</v>
      </c>
      <c r="F13">
        <f t="shared" si="1"/>
        <v>1.2389173586312865E-4</v>
      </c>
    </row>
    <row r="14" spans="1:6" x14ac:dyDescent="0.4">
      <c r="D14">
        <v>0.13</v>
      </c>
      <c r="E14">
        <f t="shared" si="0"/>
        <v>1950</v>
      </c>
      <c r="F14">
        <f t="shared" si="1"/>
        <v>1.3421031525232913E-4</v>
      </c>
    </row>
    <row r="15" spans="1:6" x14ac:dyDescent="0.4">
      <c r="D15">
        <v>0.14000000000000001</v>
      </c>
      <c r="E15">
        <f t="shared" si="0"/>
        <v>2100</v>
      </c>
      <c r="F15">
        <f t="shared" si="1"/>
        <v>1.4446078495911359E-4</v>
      </c>
    </row>
    <row r="16" spans="1:6" x14ac:dyDescent="0.4">
      <c r="D16">
        <v>0.15</v>
      </c>
      <c r="E16">
        <f t="shared" si="0"/>
        <v>2250</v>
      </c>
      <c r="F16">
        <f t="shared" si="1"/>
        <v>1.5450216147279078E-4</v>
      </c>
    </row>
    <row r="17" spans="4:6" x14ac:dyDescent="0.4">
      <c r="D17">
        <v>0.16</v>
      </c>
      <c r="E17">
        <f t="shared" si="0"/>
        <v>2400</v>
      </c>
      <c r="F17">
        <f t="shared" si="1"/>
        <v>1.641873389172549E-4</v>
      </c>
    </row>
    <row r="18" spans="4:6" x14ac:dyDescent="0.4">
      <c r="D18">
        <v>0.17</v>
      </c>
      <c r="E18">
        <f t="shared" si="0"/>
        <v>2550</v>
      </c>
      <c r="F18">
        <f t="shared" si="1"/>
        <v>1.7336654084484381E-4</v>
      </c>
    </row>
    <row r="19" spans="4:6" x14ac:dyDescent="0.4">
      <c r="D19">
        <v>0.18</v>
      </c>
      <c r="E19">
        <f t="shared" si="0"/>
        <v>2700</v>
      </c>
      <c r="F19">
        <f t="shared" si="1"/>
        <v>1.8189108726952139E-4</v>
      </c>
    </row>
    <row r="20" spans="4:6" x14ac:dyDescent="0.4">
      <c r="D20">
        <v>0.19</v>
      </c>
      <c r="E20">
        <f t="shared" si="0"/>
        <v>2850</v>
      </c>
      <c r="F20">
        <f t="shared" si="1"/>
        <v>1.8961734853653177E-4</v>
      </c>
    </row>
    <row r="21" spans="4:6" x14ac:dyDescent="0.4">
      <c r="D21">
        <v>0.2</v>
      </c>
      <c r="E21">
        <f t="shared" si="0"/>
        <v>3000</v>
      </c>
      <c r="F21">
        <f t="shared" si="1"/>
        <v>1.9641074149510577E-4</v>
      </c>
    </row>
    <row r="22" spans="4:6" x14ac:dyDescent="0.4">
      <c r="D22">
        <v>0.21</v>
      </c>
      <c r="E22">
        <f t="shared" si="0"/>
        <v>3150</v>
      </c>
      <c r="F22">
        <f t="shared" si="1"/>
        <v>2.0214961394810757E-4</v>
      </c>
    </row>
    <row r="23" spans="4:6" x14ac:dyDescent="0.4">
      <c r="D23">
        <v>0.22</v>
      </c>
      <c r="E23">
        <f t="shared" si="0"/>
        <v>3300</v>
      </c>
      <c r="F23">
        <f t="shared" si="1"/>
        <v>2.0672886140000755E-4</v>
      </c>
    </row>
    <row r="24" spans="4:6" x14ac:dyDescent="0.4">
      <c r="D24">
        <v>0.23</v>
      </c>
      <c r="E24">
        <f t="shared" si="0"/>
        <v>3450</v>
      </c>
      <c r="F24">
        <f t="shared" si="1"/>
        <v>2.1006312616988845E-4</v>
      </c>
    </row>
    <row r="25" spans="4:6" x14ac:dyDescent="0.4">
      <c r="D25">
        <v>0.24</v>
      </c>
      <c r="E25">
        <f t="shared" si="0"/>
        <v>3600</v>
      </c>
      <c r="F25">
        <f t="shared" si="1"/>
        <v>2.1208944293952471E-4</v>
      </c>
    </row>
    <row r="26" spans="4:6" x14ac:dyDescent="0.4">
      <c r="D26">
        <v>0.25</v>
      </c>
      <c r="E26">
        <f t="shared" si="0"/>
        <v>3750</v>
      </c>
      <c r="F26">
        <f t="shared" si="1"/>
        <v>2.1276921621409746E-4</v>
      </c>
    </row>
    <row r="27" spans="4:6" x14ac:dyDescent="0.4">
      <c r="D27">
        <v>0.26</v>
      </c>
      <c r="E27">
        <f t="shared" si="0"/>
        <v>3900</v>
      </c>
      <c r="F27">
        <f t="shared" si="1"/>
        <v>2.1208944293952471E-4</v>
      </c>
    </row>
    <row r="28" spans="4:6" x14ac:dyDescent="0.4">
      <c r="D28">
        <v>0.27</v>
      </c>
      <c r="E28">
        <f t="shared" si="0"/>
        <v>4050.0000000000005</v>
      </c>
      <c r="F28">
        <f t="shared" si="1"/>
        <v>2.1006312616988845E-4</v>
      </c>
    </row>
    <row r="29" spans="4:6" x14ac:dyDescent="0.4">
      <c r="D29">
        <v>0.28000000000000003</v>
      </c>
      <c r="E29">
        <f t="shared" si="0"/>
        <v>4200</v>
      </c>
      <c r="F29">
        <f t="shared" si="1"/>
        <v>2.0672886140000755E-4</v>
      </c>
    </row>
    <row r="30" spans="4:6" x14ac:dyDescent="0.4">
      <c r="D30">
        <v>0.28999999999999998</v>
      </c>
      <c r="E30">
        <f t="shared" si="0"/>
        <v>4350</v>
      </c>
      <c r="F30">
        <f t="shared" si="1"/>
        <v>2.0214961394810757E-4</v>
      </c>
    </row>
    <row r="31" spans="4:6" x14ac:dyDescent="0.4">
      <c r="D31">
        <v>0.3</v>
      </c>
      <c r="E31">
        <f t="shared" si="0"/>
        <v>4500</v>
      </c>
      <c r="F31">
        <f t="shared" si="1"/>
        <v>1.9641074149510577E-4</v>
      </c>
    </row>
    <row r="32" spans="4:6" x14ac:dyDescent="0.4">
      <c r="D32">
        <v>0.31</v>
      </c>
      <c r="E32">
        <f t="shared" si="0"/>
        <v>4650</v>
      </c>
      <c r="F32">
        <f t="shared" si="1"/>
        <v>1.8961734853653177E-4</v>
      </c>
    </row>
    <row r="33" spans="4:6" x14ac:dyDescent="0.4">
      <c r="D33">
        <v>0.32</v>
      </c>
      <c r="E33">
        <f t="shared" si="0"/>
        <v>4800</v>
      </c>
      <c r="F33">
        <f t="shared" si="1"/>
        <v>1.8189108726952139E-4</v>
      </c>
    </row>
    <row r="34" spans="4:6" x14ac:dyDescent="0.4">
      <c r="D34">
        <v>0.33</v>
      </c>
      <c r="E34">
        <f t="shared" si="0"/>
        <v>4950</v>
      </c>
      <c r="F34">
        <f t="shared" si="1"/>
        <v>1.7336654084484381E-4</v>
      </c>
    </row>
    <row r="35" spans="4:6" x14ac:dyDescent="0.4">
      <c r="D35">
        <v>0.34</v>
      </c>
      <c r="E35">
        <f t="shared" si="0"/>
        <v>5100</v>
      </c>
      <c r="F35">
        <f t="shared" si="1"/>
        <v>1.641873389172549E-4</v>
      </c>
    </row>
    <row r="36" spans="4:6" x14ac:dyDescent="0.4">
      <c r="D36">
        <v>0.35</v>
      </c>
      <c r="E36">
        <f t="shared" si="0"/>
        <v>5250</v>
      </c>
      <c r="F36">
        <f t="shared" si="1"/>
        <v>1.5450216147279078E-4</v>
      </c>
    </row>
    <row r="37" spans="4:6" x14ac:dyDescent="0.4">
      <c r="D37">
        <v>0.36</v>
      </c>
      <c r="E37">
        <f t="shared" si="0"/>
        <v>5400</v>
      </c>
      <c r="F37">
        <f t="shared" si="1"/>
        <v>1.4446078495911359E-4</v>
      </c>
    </row>
    <row r="38" spans="4:6" x14ac:dyDescent="0.4">
      <c r="D38">
        <v>0.37</v>
      </c>
      <c r="E38">
        <f t="shared" si="0"/>
        <v>5550</v>
      </c>
      <c r="F38">
        <f t="shared" si="1"/>
        <v>1.3421031525232913E-4</v>
      </c>
    </row>
    <row r="39" spans="4:6" x14ac:dyDescent="0.4">
      <c r="D39">
        <v>0.38</v>
      </c>
      <c r="E39">
        <f t="shared" si="0"/>
        <v>5700</v>
      </c>
      <c r="F39">
        <f t="shared" si="1"/>
        <v>1.2389173586312865E-4</v>
      </c>
    </row>
    <row r="40" spans="4:6" x14ac:dyDescent="0.4">
      <c r="D40">
        <v>0.39</v>
      </c>
      <c r="E40">
        <f t="shared" si="0"/>
        <v>5850</v>
      </c>
      <c r="F40">
        <f t="shared" si="1"/>
        <v>1.1363687828038285E-4</v>
      </c>
    </row>
    <row r="41" spans="4:6" x14ac:dyDescent="0.4">
      <c r="D41">
        <v>0.4</v>
      </c>
      <c r="E41">
        <f t="shared" si="0"/>
        <v>6000</v>
      </c>
      <c r="F41">
        <f t="shared" si="1"/>
        <v>1.0356589599104692E-4</v>
      </c>
    </row>
    <row r="42" spans="4:6" x14ac:dyDescent="0.4">
      <c r="D42">
        <v>0.41</v>
      </c>
      <c r="E42">
        <f t="shared" si="0"/>
        <v>6150</v>
      </c>
      <c r="F42">
        <f t="shared" si="1"/>
        <v>9.3785296158753267E-5</v>
      </c>
    </row>
    <row r="43" spans="4:6" x14ac:dyDescent="0.4">
      <c r="D43">
        <v>0.42</v>
      </c>
      <c r="E43">
        <f t="shared" si="0"/>
        <v>6300</v>
      </c>
      <c r="F43">
        <f t="shared" si="1"/>
        <v>8.4386554864204281E-5</v>
      </c>
    </row>
    <row r="44" spans="4:6" x14ac:dyDescent="0.4">
      <c r="D44">
        <v>0.43</v>
      </c>
      <c r="E44">
        <f t="shared" si="0"/>
        <v>6450</v>
      </c>
      <c r="F44">
        <f t="shared" si="1"/>
        <v>7.5445314786580693E-5</v>
      </c>
    </row>
    <row r="45" spans="4:6" x14ac:dyDescent="0.4">
      <c r="D45">
        <v>0.44</v>
      </c>
      <c r="E45">
        <f t="shared" si="0"/>
        <v>6600</v>
      </c>
      <c r="F45">
        <f t="shared" si="1"/>
        <v>6.702113962084701E-5</v>
      </c>
    </row>
    <row r="46" spans="4:6" x14ac:dyDescent="0.4">
      <c r="D46">
        <v>0.45</v>
      </c>
      <c r="E46">
        <f t="shared" si="0"/>
        <v>6750</v>
      </c>
      <c r="F46">
        <f t="shared" si="1"/>
        <v>5.9157778495709618E-5</v>
      </c>
    </row>
    <row r="47" spans="4:6" x14ac:dyDescent="0.4">
      <c r="D47">
        <v>0.46</v>
      </c>
      <c r="E47">
        <f t="shared" si="0"/>
        <v>6900</v>
      </c>
      <c r="F47">
        <f t="shared" si="1"/>
        <v>5.1883876976782675E-5</v>
      </c>
    </row>
    <row r="48" spans="4:6" x14ac:dyDescent="0.4">
      <c r="D48">
        <v>0.47</v>
      </c>
      <c r="E48">
        <f t="shared" si="0"/>
        <v>7050</v>
      </c>
      <c r="F48">
        <f t="shared" si="1"/>
        <v>4.5214059364278526E-5</v>
      </c>
    </row>
    <row r="49" spans="4:6" x14ac:dyDescent="0.4">
      <c r="D49">
        <v>0.48</v>
      </c>
      <c r="E49">
        <f t="shared" si="0"/>
        <v>7200</v>
      </c>
      <c r="F49">
        <f t="shared" si="1"/>
        <v>3.9150300043550345E-5</v>
      </c>
    </row>
    <row r="50" spans="4:6" x14ac:dyDescent="0.4">
      <c r="D50">
        <v>0.49</v>
      </c>
      <c r="E50">
        <f t="shared" si="0"/>
        <v>7350</v>
      </c>
      <c r="F50">
        <f t="shared" si="1"/>
        <v>3.3683499432105944E-5</v>
      </c>
    </row>
    <row r="51" spans="4:6" x14ac:dyDescent="0.4">
      <c r="D51">
        <v>0.5</v>
      </c>
      <c r="E51">
        <f t="shared" si="0"/>
        <v>7500</v>
      </c>
      <c r="F51">
        <f t="shared" si="1"/>
        <v>2.8795182140366965E-5</v>
      </c>
    </row>
    <row r="52" spans="4:6" x14ac:dyDescent="0.4">
      <c r="D52">
        <v>0.51</v>
      </c>
      <c r="E52">
        <f t="shared" si="0"/>
        <v>7650</v>
      </c>
      <c r="F52">
        <f t="shared" si="1"/>
        <v>2.4459240677895939E-5</v>
      </c>
    </row>
    <row r="53" spans="4:6" x14ac:dyDescent="0.4">
      <c r="D53">
        <v>0.52</v>
      </c>
      <c r="E53">
        <f t="shared" si="0"/>
        <v>7800</v>
      </c>
      <c r="F53">
        <f t="shared" si="1"/>
        <v>2.0643656611976324E-5</v>
      </c>
    </row>
    <row r="54" spans="4:6" x14ac:dyDescent="0.4">
      <c r="D54">
        <v>0.53</v>
      </c>
      <c r="E54">
        <f t="shared" si="0"/>
        <v>7950</v>
      </c>
      <c r="F54">
        <f t="shared" si="1"/>
        <v>1.7312141676638635E-5</v>
      </c>
    </row>
    <row r="55" spans="4:6" x14ac:dyDescent="0.4">
      <c r="D55">
        <v>0.54</v>
      </c>
      <c r="E55">
        <f t="shared" si="0"/>
        <v>8100.0000000000009</v>
      </c>
      <c r="F55">
        <f t="shared" si="1"/>
        <v>1.4425653091670274E-5</v>
      </c>
    </row>
    <row r="56" spans="4:6" x14ac:dyDescent="0.4">
      <c r="D56">
        <v>0.55000000000000004</v>
      </c>
      <c r="E56">
        <f t="shared" si="0"/>
        <v>8250</v>
      </c>
      <c r="F56">
        <f t="shared" si="1"/>
        <v>1.194374949058288E-5</v>
      </c>
    </row>
    <row r="57" spans="4:6" x14ac:dyDescent="0.4">
      <c r="D57">
        <v>0.56000000000000005</v>
      </c>
      <c r="E57">
        <f t="shared" si="0"/>
        <v>8400</v>
      </c>
      <c r="F57">
        <f t="shared" si="1"/>
        <v>9.8257656783264247E-6</v>
      </c>
    </row>
    <row r="58" spans="4:6" x14ac:dyDescent="0.4">
      <c r="D58">
        <v>0.56999999999999995</v>
      </c>
      <c r="E58">
        <f t="shared" si="0"/>
        <v>8550</v>
      </c>
      <c r="F58">
        <f t="shared" si="1"/>
        <v>8.0317953746013064E-6</v>
      </c>
    </row>
    <row r="59" spans="4:6" x14ac:dyDescent="0.4">
      <c r="D59">
        <v>0.57999999999999996</v>
      </c>
      <c r="E59">
        <f t="shared" si="0"/>
        <v>8700</v>
      </c>
      <c r="F59">
        <f t="shared" si="1"/>
        <v>6.5234807206815844E-6</v>
      </c>
    </row>
    <row r="60" spans="4:6" x14ac:dyDescent="0.4">
      <c r="D60">
        <v>0.59</v>
      </c>
      <c r="E60">
        <f t="shared" si="0"/>
        <v>8850</v>
      </c>
      <c r="F60">
        <f t="shared" si="1"/>
        <v>5.2646153572006037E-6</v>
      </c>
    </row>
    <row r="61" spans="4:6" x14ac:dyDescent="0.4">
      <c r="D61">
        <v>0.6</v>
      </c>
      <c r="E61">
        <f t="shared" si="0"/>
        <v>9000</v>
      </c>
      <c r="F61">
        <f t="shared" si="1"/>
        <v>4.2215741775893166E-6</v>
      </c>
    </row>
    <row r="62" spans="4:6" x14ac:dyDescent="0.4">
      <c r="D62">
        <v>0.61</v>
      </c>
      <c r="E62">
        <f t="shared" si="0"/>
        <v>9150</v>
      </c>
      <c r="F62">
        <f t="shared" si="1"/>
        <v>3.3635874113418278E-6</v>
      </c>
    </row>
    <row r="63" spans="4:6" x14ac:dyDescent="0.4">
      <c r="D63">
        <v>0.62</v>
      </c>
      <c r="E63">
        <f t="shared" si="0"/>
        <v>9300</v>
      </c>
      <c r="F63">
        <f t="shared" si="1"/>
        <v>2.6628795805932674E-6</v>
      </c>
    </row>
    <row r="64" spans="4:6" x14ac:dyDescent="0.4">
      <c r="D64">
        <v>0.63</v>
      </c>
      <c r="E64">
        <f t="shared" si="0"/>
        <v>9450</v>
      </c>
      <c r="F64">
        <f t="shared" si="1"/>
        <v>2.094695268759882E-6</v>
      </c>
    </row>
    <row r="65" spans="4:6" x14ac:dyDescent="0.4">
      <c r="D65">
        <v>0.64</v>
      </c>
      <c r="E65">
        <f t="shared" si="0"/>
        <v>9600</v>
      </c>
      <c r="F65">
        <f t="shared" si="1"/>
        <v>1.6372337605891949E-6</v>
      </c>
    </row>
    <row r="66" spans="4:6" x14ac:dyDescent="0.4">
      <c r="D66">
        <v>0.65</v>
      </c>
      <c r="E66">
        <f t="shared" ref="E66:E101" si="2">($B$2-$B$1)*D66+$B$1</f>
        <v>9750</v>
      </c>
      <c r="F66">
        <f t="shared" ref="F66:F101" si="3">_xlfn.NORM.DIST(E66,$B$3,$B$4,FALSE)</f>
        <v>1.2715137074479149E-6</v>
      </c>
    </row>
    <row r="67" spans="4:6" x14ac:dyDescent="0.4">
      <c r="D67">
        <v>0.66</v>
      </c>
      <c r="E67">
        <f t="shared" si="2"/>
        <v>9900</v>
      </c>
      <c r="F67">
        <f t="shared" si="3"/>
        <v>9.8118729643961656E-7</v>
      </c>
    </row>
    <row r="68" spans="4:6" x14ac:dyDescent="0.4">
      <c r="D68">
        <v>0.67</v>
      </c>
      <c r="E68">
        <f t="shared" si="2"/>
        <v>10050</v>
      </c>
      <c r="F68">
        <f t="shared" si="3"/>
        <v>7.5232120370207197E-7</v>
      </c>
    </row>
    <row r="69" spans="4:6" x14ac:dyDescent="0.4">
      <c r="D69">
        <v>0.68</v>
      </c>
      <c r="E69">
        <f t="shared" si="2"/>
        <v>10200</v>
      </c>
      <c r="F69">
        <f t="shared" si="3"/>
        <v>5.7315911474865906E-7</v>
      </c>
    </row>
    <row r="70" spans="4:6" x14ac:dyDescent="0.4">
      <c r="D70">
        <v>0.69</v>
      </c>
      <c r="E70">
        <f t="shared" si="2"/>
        <v>10350</v>
      </c>
      <c r="F70">
        <f t="shared" si="3"/>
        <v>4.3387798991029787E-7</v>
      </c>
    </row>
    <row r="71" spans="4:6" x14ac:dyDescent="0.4">
      <c r="D71">
        <v>0.7</v>
      </c>
      <c r="E71">
        <f t="shared" si="2"/>
        <v>10500</v>
      </c>
      <c r="F71">
        <f t="shared" si="3"/>
        <v>3.2634769606067838E-7</v>
      </c>
    </row>
    <row r="72" spans="4:6" x14ac:dyDescent="0.4">
      <c r="D72">
        <v>0.71</v>
      </c>
      <c r="E72">
        <f t="shared" si="2"/>
        <v>10650</v>
      </c>
      <c r="F72">
        <f t="shared" si="3"/>
        <v>2.4390123416525691E-7</v>
      </c>
    </row>
    <row r="73" spans="4:6" x14ac:dyDescent="0.4">
      <c r="D73">
        <v>0.72</v>
      </c>
      <c r="E73">
        <f t="shared" si="2"/>
        <v>10800</v>
      </c>
      <c r="F73">
        <f t="shared" si="3"/>
        <v>1.8112064665794921E-7</v>
      </c>
    </row>
    <row r="74" spans="4:6" x14ac:dyDescent="0.4">
      <c r="D74">
        <v>0.73</v>
      </c>
      <c r="E74">
        <f t="shared" si="2"/>
        <v>10950</v>
      </c>
      <c r="F74">
        <f t="shared" si="3"/>
        <v>1.3364183727512574E-7</v>
      </c>
    </row>
    <row r="75" spans="4:6" x14ac:dyDescent="0.4">
      <c r="D75">
        <v>0.74</v>
      </c>
      <c r="E75">
        <f t="shared" si="2"/>
        <v>11100</v>
      </c>
      <c r="F75">
        <f t="shared" si="3"/>
        <v>9.7979998934643789E-8</v>
      </c>
    </row>
    <row r="76" spans="4:6" x14ac:dyDescent="0.4">
      <c r="D76">
        <v>0.75</v>
      </c>
      <c r="E76">
        <f t="shared" si="2"/>
        <v>11250</v>
      </c>
      <c r="F76">
        <f t="shared" si="3"/>
        <v>7.1376120407938865E-8</v>
      </c>
    </row>
    <row r="77" spans="4:6" x14ac:dyDescent="0.4">
      <c r="D77">
        <v>0.76</v>
      </c>
      <c r="E77">
        <f t="shared" si="2"/>
        <v>11400</v>
      </c>
      <c r="F77">
        <f t="shared" si="3"/>
        <v>5.1664111145983611E-8</v>
      </c>
    </row>
    <row r="78" spans="4:6" x14ac:dyDescent="0.4">
      <c r="D78">
        <v>0.77</v>
      </c>
      <c r="E78">
        <f t="shared" si="2"/>
        <v>11550</v>
      </c>
      <c r="F78">
        <f t="shared" si="3"/>
        <v>3.715741566358098E-8</v>
      </c>
    </row>
    <row r="79" spans="4:6" x14ac:dyDescent="0.4">
      <c r="D79">
        <v>0.78</v>
      </c>
      <c r="E79">
        <f t="shared" si="2"/>
        <v>11700</v>
      </c>
      <c r="F79">
        <f t="shared" si="3"/>
        <v>2.6553547785606447E-8</v>
      </c>
    </row>
    <row r="80" spans="4:6" x14ac:dyDescent="0.4">
      <c r="D80">
        <v>0.79</v>
      </c>
      <c r="E80">
        <f t="shared" si="2"/>
        <v>11850</v>
      </c>
      <c r="F80">
        <f t="shared" si="3"/>
        <v>1.8854721600945649E-8</v>
      </c>
    </row>
    <row r="81" spans="4:6" x14ac:dyDescent="0.4">
      <c r="D81">
        <v>0.8</v>
      </c>
      <c r="E81">
        <f t="shared" si="2"/>
        <v>12000</v>
      </c>
      <c r="F81">
        <f t="shared" si="3"/>
        <v>1.3302651354695218E-8</v>
      </c>
    </row>
    <row r="82" spans="4:6" x14ac:dyDescent="0.4">
      <c r="D82">
        <v>0.81</v>
      </c>
      <c r="E82">
        <f t="shared" si="2"/>
        <v>12150</v>
      </c>
      <c r="F82">
        <f t="shared" si="3"/>
        <v>9.3256005475408726E-9</v>
      </c>
    </row>
    <row r="83" spans="4:6" x14ac:dyDescent="0.4">
      <c r="D83">
        <v>0.82</v>
      </c>
      <c r="E83">
        <f t="shared" si="2"/>
        <v>12300</v>
      </c>
      <c r="F83">
        <f t="shared" si="3"/>
        <v>6.4958490508099725E-9</v>
      </c>
    </row>
    <row r="84" spans="4:6" x14ac:dyDescent="0.4">
      <c r="D84">
        <v>0.83</v>
      </c>
      <c r="E84">
        <f t="shared" si="2"/>
        <v>12450</v>
      </c>
      <c r="F84">
        <f t="shared" si="3"/>
        <v>4.4958887377220121E-9</v>
      </c>
    </row>
    <row r="85" spans="4:6" x14ac:dyDescent="0.4">
      <c r="D85">
        <v>0.84</v>
      </c>
      <c r="E85">
        <f t="shared" si="2"/>
        <v>12600</v>
      </c>
      <c r="F85">
        <f t="shared" si="3"/>
        <v>3.0918306700572198E-9</v>
      </c>
    </row>
    <row r="86" spans="4:6" x14ac:dyDescent="0.4">
      <c r="D86">
        <v>0.85</v>
      </c>
      <c r="E86">
        <f t="shared" si="2"/>
        <v>12750</v>
      </c>
      <c r="F86">
        <f t="shared" si="3"/>
        <v>2.1126928485504402E-9</v>
      </c>
    </row>
    <row r="87" spans="4:6" x14ac:dyDescent="0.4">
      <c r="D87">
        <v>0.86</v>
      </c>
      <c r="E87">
        <f t="shared" si="2"/>
        <v>12900</v>
      </c>
      <c r="F87">
        <f t="shared" si="3"/>
        <v>1.4344239862781458E-9</v>
      </c>
    </row>
    <row r="88" spans="4:6" x14ac:dyDescent="0.4">
      <c r="D88">
        <v>0.87</v>
      </c>
      <c r="E88">
        <f t="shared" si="2"/>
        <v>13050</v>
      </c>
      <c r="F88">
        <f t="shared" si="3"/>
        <v>9.6769663476374944E-10</v>
      </c>
    </row>
    <row r="89" spans="4:6" x14ac:dyDescent="0.4">
      <c r="D89">
        <v>0.88</v>
      </c>
      <c r="E89">
        <f t="shared" si="2"/>
        <v>13200</v>
      </c>
      <c r="F89">
        <f t="shared" si="3"/>
        <v>6.4866645276336961E-10</v>
      </c>
    </row>
    <row r="90" spans="4:6" x14ac:dyDescent="0.4">
      <c r="D90">
        <v>0.89</v>
      </c>
      <c r="E90">
        <f t="shared" si="2"/>
        <v>13350</v>
      </c>
      <c r="F90">
        <f t="shared" si="3"/>
        <v>4.3204020209500504E-10</v>
      </c>
    </row>
    <row r="91" spans="4:6" x14ac:dyDescent="0.4">
      <c r="D91">
        <v>0.9</v>
      </c>
      <c r="E91">
        <f t="shared" si="2"/>
        <v>13500</v>
      </c>
      <c r="F91">
        <f t="shared" si="3"/>
        <v>2.8592188505053939E-10</v>
      </c>
    </row>
    <row r="92" spans="4:6" x14ac:dyDescent="0.4">
      <c r="D92">
        <v>0.91</v>
      </c>
      <c r="E92">
        <f t="shared" si="2"/>
        <v>13650</v>
      </c>
      <c r="F92">
        <f t="shared" si="3"/>
        <v>1.8801441667274868E-10</v>
      </c>
    </row>
    <row r="93" spans="4:6" x14ac:dyDescent="0.4">
      <c r="D93">
        <v>0.92</v>
      </c>
      <c r="E93">
        <f t="shared" si="2"/>
        <v>13800</v>
      </c>
      <c r="F93">
        <f t="shared" si="3"/>
        <v>1.2284441602342434E-10</v>
      </c>
    </row>
    <row r="94" spans="4:6" x14ac:dyDescent="0.4">
      <c r="D94">
        <v>0.93</v>
      </c>
      <c r="E94">
        <f t="shared" si="2"/>
        <v>13950</v>
      </c>
      <c r="F94">
        <f t="shared" si="3"/>
        <v>7.9751746755818225E-11</v>
      </c>
    </row>
    <row r="95" spans="4:6" x14ac:dyDescent="0.4">
      <c r="D95">
        <v>0.94</v>
      </c>
      <c r="E95">
        <f t="shared" si="2"/>
        <v>14100</v>
      </c>
      <c r="F95">
        <f t="shared" si="3"/>
        <v>5.1445276182791381E-11</v>
      </c>
    </row>
    <row r="96" spans="4:6" x14ac:dyDescent="0.4">
      <c r="D96">
        <v>0.95</v>
      </c>
      <c r="E96">
        <f t="shared" si="2"/>
        <v>14250</v>
      </c>
      <c r="F96">
        <f t="shared" si="3"/>
        <v>3.2973976000884571E-11</v>
      </c>
    </row>
    <row r="97" spans="4:6" x14ac:dyDescent="0.4">
      <c r="D97">
        <v>0.96</v>
      </c>
      <c r="E97">
        <f t="shared" si="2"/>
        <v>14400</v>
      </c>
      <c r="F97">
        <f t="shared" si="3"/>
        <v>2.0999920338665867E-11</v>
      </c>
    </row>
    <row r="98" spans="4:6" x14ac:dyDescent="0.4">
      <c r="D98">
        <v>0.97</v>
      </c>
      <c r="E98">
        <f t="shared" si="2"/>
        <v>14550</v>
      </c>
      <c r="F98">
        <f t="shared" si="3"/>
        <v>1.3288761052240529E-11</v>
      </c>
    </row>
    <row r="99" spans="4:6" x14ac:dyDescent="0.4">
      <c r="D99">
        <v>0.98</v>
      </c>
      <c r="E99">
        <f t="shared" si="2"/>
        <v>14700</v>
      </c>
      <c r="F99">
        <f t="shared" si="3"/>
        <v>8.3554886336707043E-12</v>
      </c>
    </row>
    <row r="100" spans="4:6" x14ac:dyDescent="0.4">
      <c r="D100">
        <v>0.99</v>
      </c>
      <c r="E100">
        <f t="shared" si="2"/>
        <v>14850</v>
      </c>
      <c r="F100">
        <f t="shared" si="3"/>
        <v>5.2201108866352955E-12</v>
      </c>
    </row>
    <row r="101" spans="4:6" x14ac:dyDescent="0.4">
      <c r="D101">
        <v>1</v>
      </c>
      <c r="E101">
        <f t="shared" si="2"/>
        <v>15000</v>
      </c>
      <c r="F101">
        <f t="shared" si="3"/>
        <v>3.2404708532390857E-12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B5" sqref="B5"/>
    </sheetView>
  </sheetViews>
  <sheetFormatPr defaultRowHeight="18.75" x14ac:dyDescent="0.4"/>
  <cols>
    <col min="1" max="1" width="25.375" customWidth="1"/>
    <col min="2" max="2" width="10.75" customWidth="1"/>
    <col min="7" max="7" width="13.375" bestFit="1" customWidth="1"/>
    <col min="10" max="10" width="9.375" bestFit="1" customWidth="1"/>
  </cols>
  <sheetData>
    <row r="1" spans="1:10" x14ac:dyDescent="0.4">
      <c r="A1" t="s">
        <v>0</v>
      </c>
      <c r="B1">
        <v>10000</v>
      </c>
      <c r="E1">
        <v>0.01</v>
      </c>
      <c r="F1">
        <f t="shared" ref="F1:F64" si="0">($B$2-$B$1)*E1+$B$1</f>
        <v>10900</v>
      </c>
      <c r="G1">
        <f>_xlfn.LOGNORM.DIST(F1-$B$1,$J$1, $B$4,FALSE)</f>
        <v>8.8737452147448118E-13</v>
      </c>
      <c r="I1" t="s">
        <v>4</v>
      </c>
      <c r="J1">
        <f>LN($B$3 - $B$1)</f>
        <v>10.021270588192511</v>
      </c>
    </row>
    <row r="2" spans="1:10" x14ac:dyDescent="0.4">
      <c r="A2" t="s">
        <v>1</v>
      </c>
      <c r="B2">
        <v>100000</v>
      </c>
      <c r="E2">
        <v>0.02</v>
      </c>
      <c r="F2">
        <f t="shared" si="0"/>
        <v>11800</v>
      </c>
      <c r="G2">
        <f t="shared" ref="G2:G65" si="1">_xlfn.LOGNORM.DIST(F2-$B$1,$J$1, $B$4,FALSE)</f>
        <v>1.2754794805068564E-9</v>
      </c>
    </row>
    <row r="3" spans="1:10" x14ac:dyDescent="0.4">
      <c r="A3" t="s">
        <v>2</v>
      </c>
      <c r="B3">
        <f>$B$1*3/4+$B$2*1/4</f>
        <v>32500</v>
      </c>
      <c r="E3">
        <v>0.03</v>
      </c>
      <c r="F3">
        <f t="shared" si="0"/>
        <v>12700</v>
      </c>
      <c r="G3">
        <f t="shared" si="1"/>
        <v>3.679759561273293E-8</v>
      </c>
    </row>
    <row r="4" spans="1:10" x14ac:dyDescent="0.4">
      <c r="A4" t="s">
        <v>3</v>
      </c>
      <c r="B4">
        <v>0.5</v>
      </c>
      <c r="E4">
        <v>0.04</v>
      </c>
      <c r="F4">
        <f t="shared" si="0"/>
        <v>13600</v>
      </c>
      <c r="G4">
        <f t="shared" si="1"/>
        <v>2.6829194035635256E-7</v>
      </c>
    </row>
    <row r="5" spans="1:10" x14ac:dyDescent="0.4">
      <c r="E5">
        <v>0.05</v>
      </c>
      <c r="F5">
        <f t="shared" si="0"/>
        <v>14500</v>
      </c>
      <c r="G5">
        <f t="shared" si="1"/>
        <v>9.9730936785740906E-7</v>
      </c>
    </row>
    <row r="6" spans="1:10" x14ac:dyDescent="0.4">
      <c r="E6">
        <v>0.06</v>
      </c>
      <c r="F6">
        <f t="shared" si="0"/>
        <v>15400</v>
      </c>
      <c r="G6">
        <f t="shared" si="1"/>
        <v>2.5149245112557564E-6</v>
      </c>
    </row>
    <row r="7" spans="1:10" x14ac:dyDescent="0.4">
      <c r="E7">
        <v>7.0000000000000007E-2</v>
      </c>
      <c r="F7">
        <f t="shared" si="0"/>
        <v>16300</v>
      </c>
      <c r="G7">
        <f t="shared" si="1"/>
        <v>4.9556635266645633E-6</v>
      </c>
    </row>
    <row r="8" spans="1:10" x14ac:dyDescent="0.4">
      <c r="E8">
        <v>0.08</v>
      </c>
      <c r="F8">
        <f t="shared" si="0"/>
        <v>17200</v>
      </c>
      <c r="G8">
        <f t="shared" si="1"/>
        <v>8.2586565490021676E-6</v>
      </c>
    </row>
    <row r="9" spans="1:10" x14ac:dyDescent="0.4">
      <c r="E9">
        <v>0.09</v>
      </c>
      <c r="F9">
        <f t="shared" si="0"/>
        <v>18100</v>
      </c>
      <c r="G9">
        <f t="shared" si="1"/>
        <v>1.2213688384416249E-5</v>
      </c>
    </row>
    <row r="10" spans="1:10" x14ac:dyDescent="0.4">
      <c r="E10">
        <v>0.1</v>
      </c>
      <c r="F10">
        <f t="shared" si="0"/>
        <v>19000</v>
      </c>
      <c r="G10">
        <f t="shared" si="1"/>
        <v>1.6536365713968287E-5</v>
      </c>
    </row>
    <row r="11" spans="1:10" x14ac:dyDescent="0.4">
      <c r="E11">
        <v>0.11</v>
      </c>
      <c r="F11">
        <f t="shared" si="0"/>
        <v>19900</v>
      </c>
      <c r="G11">
        <f t="shared" si="1"/>
        <v>2.0934762095425469E-5</v>
      </c>
    </row>
    <row r="12" spans="1:10" x14ac:dyDescent="0.4">
      <c r="E12">
        <v>0.12</v>
      </c>
      <c r="F12">
        <f t="shared" si="0"/>
        <v>20800</v>
      </c>
      <c r="G12">
        <f t="shared" si="1"/>
        <v>2.5153480893365464E-5</v>
      </c>
    </row>
    <row r="13" spans="1:10" x14ac:dyDescent="0.4">
      <c r="E13">
        <v>0.13</v>
      </c>
      <c r="F13">
        <f t="shared" si="0"/>
        <v>21700</v>
      </c>
      <c r="G13">
        <f t="shared" si="1"/>
        <v>2.8995348917937125E-5</v>
      </c>
    </row>
    <row r="14" spans="1:10" x14ac:dyDescent="0.4">
      <c r="E14">
        <v>0.14000000000000001</v>
      </c>
      <c r="F14">
        <f t="shared" si="0"/>
        <v>22600</v>
      </c>
      <c r="G14">
        <f t="shared" si="1"/>
        <v>3.2326526191316087E-5</v>
      </c>
    </row>
    <row r="15" spans="1:10" x14ac:dyDescent="0.4">
      <c r="E15">
        <v>0.15</v>
      </c>
      <c r="F15">
        <f t="shared" si="0"/>
        <v>23500</v>
      </c>
      <c r="G15">
        <f t="shared" si="1"/>
        <v>3.5071491942819478E-5</v>
      </c>
    </row>
    <row r="16" spans="1:10" x14ac:dyDescent="0.4">
      <c r="E16">
        <v>0.16</v>
      </c>
      <c r="F16">
        <f t="shared" si="0"/>
        <v>24400</v>
      </c>
      <c r="G16">
        <f t="shared" si="1"/>
        <v>3.7203072941083277E-5</v>
      </c>
    </row>
    <row r="17" spans="5:7" x14ac:dyDescent="0.4">
      <c r="E17">
        <v>0.17</v>
      </c>
      <c r="F17">
        <f t="shared" si="0"/>
        <v>25300</v>
      </c>
      <c r="G17">
        <f t="shared" si="1"/>
        <v>3.8730987867734036E-5</v>
      </c>
    </row>
    <row r="18" spans="5:7" x14ac:dyDescent="0.4">
      <c r="E18">
        <v>0.18</v>
      </c>
      <c r="F18">
        <f t="shared" si="0"/>
        <v>26200</v>
      </c>
      <c r="G18">
        <f t="shared" si="1"/>
        <v>3.9690935634104848E-5</v>
      </c>
    </row>
    <row r="19" spans="5:7" x14ac:dyDescent="0.4">
      <c r="E19">
        <v>0.19</v>
      </c>
      <c r="F19">
        <f t="shared" si="0"/>
        <v>27100</v>
      </c>
      <c r="G19">
        <f t="shared" si="1"/>
        <v>4.0135221814227441E-5</v>
      </c>
    </row>
    <row r="20" spans="5:7" x14ac:dyDescent="0.4">
      <c r="E20">
        <v>0.2</v>
      </c>
      <c r="F20">
        <f t="shared" si="0"/>
        <v>28000</v>
      </c>
      <c r="G20">
        <f t="shared" si="1"/>
        <v>4.0125260733291002E-5</v>
      </c>
    </row>
    <row r="21" spans="5:7" x14ac:dyDescent="0.4">
      <c r="E21">
        <v>0.21</v>
      </c>
      <c r="F21">
        <f t="shared" si="0"/>
        <v>28900</v>
      </c>
      <c r="G21">
        <f t="shared" si="1"/>
        <v>3.9725917047563995E-5</v>
      </c>
    </row>
    <row r="22" spans="5:7" x14ac:dyDescent="0.4">
      <c r="E22">
        <v>0.22</v>
      </c>
      <c r="F22">
        <f t="shared" si="0"/>
        <v>29800</v>
      </c>
      <c r="G22">
        <f t="shared" si="1"/>
        <v>3.900146645736989E-5</v>
      </c>
    </row>
    <row r="23" spans="5:7" x14ac:dyDescent="0.4">
      <c r="E23">
        <v>0.23</v>
      </c>
      <c r="F23">
        <f t="shared" si="0"/>
        <v>30700</v>
      </c>
      <c r="G23">
        <f t="shared" si="1"/>
        <v>3.8012887259792961E-5</v>
      </c>
    </row>
    <row r="24" spans="5:7" x14ac:dyDescent="0.4">
      <c r="E24">
        <v>0.24</v>
      </c>
      <c r="F24">
        <f t="shared" si="0"/>
        <v>31600</v>
      </c>
      <c r="G24">
        <f t="shared" si="1"/>
        <v>3.6816191733848187E-5</v>
      </c>
    </row>
    <row r="25" spans="5:7" x14ac:dyDescent="0.4">
      <c r="E25">
        <v>0.25</v>
      </c>
      <c r="F25">
        <f t="shared" si="0"/>
        <v>32500</v>
      </c>
      <c r="G25">
        <f t="shared" si="1"/>
        <v>3.5461536035682961E-5</v>
      </c>
    </row>
    <row r="26" spans="5:7" x14ac:dyDescent="0.4">
      <c r="E26">
        <v>0.26</v>
      </c>
      <c r="F26">
        <f t="shared" si="0"/>
        <v>33400</v>
      </c>
      <c r="G26">
        <f t="shared" si="1"/>
        <v>3.399288966660766E-5</v>
      </c>
    </row>
    <row r="27" spans="5:7" x14ac:dyDescent="0.4">
      <c r="E27">
        <v>0.27</v>
      </c>
      <c r="F27">
        <f t="shared" si="0"/>
        <v>34300</v>
      </c>
      <c r="G27">
        <f t="shared" si="1"/>
        <v>3.2448089696671462E-5</v>
      </c>
    </row>
    <row r="28" spans="5:7" x14ac:dyDescent="0.4">
      <c r="E28">
        <v>0.28000000000000003</v>
      </c>
      <c r="F28">
        <f t="shared" si="0"/>
        <v>35200</v>
      </c>
      <c r="G28">
        <f t="shared" si="1"/>
        <v>3.0859145284212345E-5</v>
      </c>
    </row>
    <row r="29" spans="5:7" x14ac:dyDescent="0.4">
      <c r="E29">
        <v>0.28999999999999998</v>
      </c>
      <c r="F29">
        <f t="shared" si="0"/>
        <v>36100</v>
      </c>
      <c r="G29">
        <f t="shared" si="1"/>
        <v>2.9252692366803312E-5</v>
      </c>
    </row>
    <row r="30" spans="5:7" x14ac:dyDescent="0.4">
      <c r="E30">
        <v>0.3</v>
      </c>
      <c r="F30">
        <f t="shared" si="0"/>
        <v>37000</v>
      </c>
      <c r="G30">
        <f t="shared" si="1"/>
        <v>2.7650526245923856E-5</v>
      </c>
    </row>
    <row r="31" spans="5:7" x14ac:dyDescent="0.4">
      <c r="E31">
        <v>0.31</v>
      </c>
      <c r="F31">
        <f t="shared" si="0"/>
        <v>37900</v>
      </c>
      <c r="G31">
        <f t="shared" si="1"/>
        <v>2.6070161589745537E-5</v>
      </c>
    </row>
    <row r="32" spans="5:7" x14ac:dyDescent="0.4">
      <c r="E32">
        <v>0.32</v>
      </c>
      <c r="F32">
        <f t="shared" si="0"/>
        <v>38800</v>
      </c>
      <c r="G32">
        <f t="shared" si="1"/>
        <v>2.4525385967465311E-5</v>
      </c>
    </row>
    <row r="33" spans="5:7" x14ac:dyDescent="0.4">
      <c r="E33">
        <v>0.33</v>
      </c>
      <c r="F33">
        <f t="shared" si="0"/>
        <v>39700</v>
      </c>
      <c r="G33">
        <f t="shared" si="1"/>
        <v>2.3026785336861713E-5</v>
      </c>
    </row>
    <row r="34" spans="5:7" x14ac:dyDescent="0.4">
      <c r="E34">
        <v>0.34</v>
      </c>
      <c r="F34">
        <f t="shared" si="0"/>
        <v>40600</v>
      </c>
      <c r="G34">
        <f t="shared" si="1"/>
        <v>2.1582228819605788E-5</v>
      </c>
    </row>
    <row r="35" spans="5:7" x14ac:dyDescent="0.4">
      <c r="E35">
        <v>0.35</v>
      </c>
      <c r="F35">
        <f t="shared" si="0"/>
        <v>41500</v>
      </c>
      <c r="G35">
        <f t="shared" si="1"/>
        <v>2.0197306389719416E-5</v>
      </c>
    </row>
    <row r="36" spans="5:7" x14ac:dyDescent="0.4">
      <c r="E36">
        <v>0.36</v>
      </c>
      <c r="F36">
        <f t="shared" si="0"/>
        <v>42400</v>
      </c>
      <c r="G36">
        <f t="shared" si="1"/>
        <v>1.8875717411422306E-5</v>
      </c>
    </row>
    <row r="37" spans="5:7" x14ac:dyDescent="0.4">
      <c r="E37">
        <v>0.37</v>
      </c>
      <c r="F37">
        <f t="shared" si="0"/>
        <v>43300</v>
      </c>
      <c r="G37">
        <f t="shared" si="1"/>
        <v>1.7619610807878037E-5</v>
      </c>
    </row>
    <row r="38" spans="5:7" x14ac:dyDescent="0.4">
      <c r="E38">
        <v>0.38</v>
      </c>
      <c r="F38">
        <f t="shared" si="0"/>
        <v>44200</v>
      </c>
      <c r="G38">
        <f t="shared" si="1"/>
        <v>1.6429879423721357E-5</v>
      </c>
    </row>
    <row r="39" spans="5:7" x14ac:dyDescent="0.4">
      <c r="E39">
        <v>0.39</v>
      </c>
      <c r="F39">
        <f t="shared" si="0"/>
        <v>45100</v>
      </c>
      <c r="G39">
        <f t="shared" si="1"/>
        <v>1.5306412168822427E-5</v>
      </c>
    </row>
    <row r="40" spans="5:7" x14ac:dyDescent="0.4">
      <c r="E40">
        <v>0.4</v>
      </c>
      <c r="F40">
        <f t="shared" si="0"/>
        <v>46000</v>
      </c>
      <c r="G40">
        <f t="shared" si="1"/>
        <v>1.4248308029211809E-5</v>
      </c>
    </row>
    <row r="41" spans="5:7" x14ac:dyDescent="0.4">
      <c r="E41">
        <v>0.41</v>
      </c>
      <c r="F41">
        <f t="shared" si="0"/>
        <v>46900</v>
      </c>
      <c r="G41">
        <f t="shared" si="1"/>
        <v>1.3254056173902503E-5</v>
      </c>
    </row>
    <row r="42" spans="5:7" x14ac:dyDescent="0.4">
      <c r="E42">
        <v>0.42</v>
      </c>
      <c r="F42">
        <f t="shared" si="0"/>
        <v>47800</v>
      </c>
      <c r="G42">
        <f t="shared" si="1"/>
        <v>1.232168629754576E-5</v>
      </c>
    </row>
    <row r="43" spans="5:7" x14ac:dyDescent="0.4">
      <c r="E43">
        <v>0.43</v>
      </c>
      <c r="F43">
        <f t="shared" si="0"/>
        <v>48700</v>
      </c>
      <c r="G43">
        <f t="shared" si="1"/>
        <v>1.1448893107157044E-5</v>
      </c>
    </row>
    <row r="44" spans="5:7" x14ac:dyDescent="0.4">
      <c r="E44">
        <v>0.44</v>
      </c>
      <c r="F44">
        <f t="shared" si="0"/>
        <v>49600</v>
      </c>
      <c r="G44">
        <f t="shared" si="1"/>
        <v>1.0633138548920837E-5</v>
      </c>
    </row>
    <row r="45" spans="5:7" x14ac:dyDescent="0.4">
      <c r="E45">
        <v>0.45</v>
      </c>
      <c r="F45">
        <f t="shared" si="0"/>
        <v>50500</v>
      </c>
      <c r="G45">
        <f t="shared" si="1"/>
        <v>9.8717350211918934E-6</v>
      </c>
    </row>
    <row r="46" spans="5:7" x14ac:dyDescent="0.4">
      <c r="E46">
        <v>0.46</v>
      </c>
      <c r="F46">
        <f t="shared" si="0"/>
        <v>51400</v>
      </c>
      <c r="G46">
        <f t="shared" si="1"/>
        <v>9.1619124609281848E-6</v>
      </c>
    </row>
    <row r="47" spans="5:7" x14ac:dyDescent="0.4">
      <c r="E47">
        <v>0.47</v>
      </c>
      <c r="F47">
        <f t="shared" si="0"/>
        <v>52300</v>
      </c>
      <c r="G47">
        <f t="shared" si="1"/>
        <v>8.5008718413845428E-6</v>
      </c>
    </row>
    <row r="48" spans="5:7" x14ac:dyDescent="0.4">
      <c r="E48">
        <v>0.48</v>
      </c>
      <c r="F48">
        <f t="shared" si="0"/>
        <v>53200</v>
      </c>
      <c r="G48">
        <f t="shared" si="1"/>
        <v>7.8858272901989245E-6</v>
      </c>
    </row>
    <row r="49" spans="5:7" x14ac:dyDescent="0.4">
      <c r="E49">
        <v>0.49</v>
      </c>
      <c r="F49">
        <f t="shared" si="0"/>
        <v>54100</v>
      </c>
      <c r="G49">
        <f t="shared" si="1"/>
        <v>7.3140387352101711E-6</v>
      </c>
    </row>
    <row r="50" spans="5:7" x14ac:dyDescent="0.4">
      <c r="E50">
        <v>0.5</v>
      </c>
      <c r="F50">
        <f t="shared" si="0"/>
        <v>55000</v>
      </c>
      <c r="G50">
        <f t="shared" si="1"/>
        <v>6.7828367132242682E-6</v>
      </c>
    </row>
    <row r="51" spans="5:7" x14ac:dyDescent="0.4">
      <c r="E51">
        <v>0.51</v>
      </c>
      <c r="F51">
        <f t="shared" si="0"/>
        <v>55900</v>
      </c>
      <c r="G51">
        <f t="shared" si="1"/>
        <v>6.2896407349859485E-6</v>
      </c>
    </row>
    <row r="52" spans="5:7" x14ac:dyDescent="0.4">
      <c r="E52">
        <v>0.52</v>
      </c>
      <c r="F52">
        <f t="shared" si="0"/>
        <v>56800</v>
      </c>
      <c r="G52">
        <f t="shared" si="1"/>
        <v>5.8319723868491207E-6</v>
      </c>
    </row>
    <row r="53" spans="5:7" x14ac:dyDescent="0.4">
      <c r="E53">
        <v>0.53</v>
      </c>
      <c r="F53">
        <f t="shared" si="0"/>
        <v>57700</v>
      </c>
      <c r="G53">
        <f t="shared" si="1"/>
        <v>5.4074641642482699E-6</v>
      </c>
    </row>
    <row r="54" spans="5:7" x14ac:dyDescent="0.4">
      <c r="E54">
        <v>0.54</v>
      </c>
      <c r="F54">
        <f t="shared" si="0"/>
        <v>58600</v>
      </c>
      <c r="G54">
        <f t="shared" si="1"/>
        <v>5.0138648717485659E-6</v>
      </c>
    </row>
    <row r="55" spans="5:7" x14ac:dyDescent="0.4">
      <c r="E55">
        <v>0.55000000000000004</v>
      </c>
      <c r="F55">
        <f t="shared" si="0"/>
        <v>59500.000000000007</v>
      </c>
      <c r="G55">
        <f t="shared" si="1"/>
        <v>4.6490422867019355E-6</v>
      </c>
    </row>
    <row r="56" spans="5:7" x14ac:dyDescent="0.4">
      <c r="E56">
        <v>0.56000000000000005</v>
      </c>
      <c r="F56">
        <f t="shared" si="0"/>
        <v>60400.000000000007</v>
      </c>
      <c r="G56">
        <f t="shared" si="1"/>
        <v>4.3109836658390414E-6</v>
      </c>
    </row>
    <row r="57" spans="5:7" x14ac:dyDescent="0.4">
      <c r="E57">
        <v>0.56999999999999995</v>
      </c>
      <c r="F57">
        <f t="shared" si="0"/>
        <v>61299.999999999993</v>
      </c>
      <c r="G57">
        <f t="shared" si="1"/>
        <v>3.9977945740644627E-6</v>
      </c>
    </row>
    <row r="58" spans="5:7" x14ac:dyDescent="0.4">
      <c r="E58">
        <v>0.57999999999999996</v>
      </c>
      <c r="F58">
        <f t="shared" si="0"/>
        <v>62200</v>
      </c>
      <c r="G58">
        <f t="shared" si="1"/>
        <v>3.7076964300295632E-6</v>
      </c>
    </row>
    <row r="59" spans="5:7" x14ac:dyDescent="0.4">
      <c r="E59">
        <v>0.59</v>
      </c>
      <c r="F59">
        <f t="shared" si="0"/>
        <v>63100</v>
      </c>
      <c r="G59">
        <f t="shared" si="1"/>
        <v>3.4390230916664345E-6</v>
      </c>
    </row>
    <row r="60" spans="5:7" x14ac:dyDescent="0.4">
      <c r="E60">
        <v>0.6</v>
      </c>
      <c r="F60">
        <f t="shared" si="0"/>
        <v>64000</v>
      </c>
      <c r="G60">
        <f t="shared" si="1"/>
        <v>3.1902167449215775E-6</v>
      </c>
    </row>
    <row r="61" spans="5:7" x14ac:dyDescent="0.4">
      <c r="E61">
        <v>0.61</v>
      </c>
      <c r="F61">
        <f t="shared" si="0"/>
        <v>64900</v>
      </c>
      <c r="G61">
        <f t="shared" si="1"/>
        <v>2.959823308777203E-6</v>
      </c>
    </row>
    <row r="62" spans="5:7" x14ac:dyDescent="0.4">
      <c r="E62">
        <v>0.62</v>
      </c>
      <c r="F62">
        <f t="shared" si="0"/>
        <v>65800</v>
      </c>
      <c r="G62">
        <f t="shared" si="1"/>
        <v>2.7464875278433531E-6</v>
      </c>
    </row>
    <row r="63" spans="5:7" x14ac:dyDescent="0.4">
      <c r="E63">
        <v>0.63</v>
      </c>
      <c r="F63">
        <f t="shared" si="0"/>
        <v>66700</v>
      </c>
      <c r="G63">
        <f t="shared" si="1"/>
        <v>2.5489478890812532E-6</v>
      </c>
    </row>
    <row r="64" spans="5:7" x14ac:dyDescent="0.4">
      <c r="E64">
        <v>0.64</v>
      </c>
      <c r="F64">
        <f t="shared" si="0"/>
        <v>67600</v>
      </c>
      <c r="G64">
        <f t="shared" si="1"/>
        <v>2.3660314704842863E-6</v>
      </c>
    </row>
    <row r="65" spans="5:7" x14ac:dyDescent="0.4">
      <c r="E65">
        <v>0.65</v>
      </c>
      <c r="F65">
        <f t="shared" ref="F65:F100" si="2">($B$2-$B$1)*E65+$B$1</f>
        <v>68500</v>
      </c>
      <c r="G65">
        <f t="shared" si="1"/>
        <v>2.1966488058544841E-6</v>
      </c>
    </row>
    <row r="66" spans="5:7" x14ac:dyDescent="0.4">
      <c r="E66">
        <v>0.66</v>
      </c>
      <c r="F66">
        <f t="shared" si="2"/>
        <v>69400</v>
      </c>
      <c r="G66">
        <f t="shared" ref="G66:G100" si="3">_xlfn.LOGNORM.DIST(F66-$B$1,$J$1, $B$4,FALSE)</f>
        <v>2.0397888303646954E-6</v>
      </c>
    </row>
    <row r="67" spans="5:7" x14ac:dyDescent="0.4">
      <c r="E67">
        <v>0.67</v>
      </c>
      <c r="F67">
        <f t="shared" si="2"/>
        <v>70300</v>
      </c>
      <c r="G67">
        <f t="shared" si="3"/>
        <v>1.894513955698987E-6</v>
      </c>
    </row>
    <row r="68" spans="5:7" x14ac:dyDescent="0.4">
      <c r="E68">
        <v>0.68</v>
      </c>
      <c r="F68">
        <f t="shared" si="2"/>
        <v>71200</v>
      </c>
      <c r="G68">
        <f t="shared" si="3"/>
        <v>1.7599553106332918E-6</v>
      </c>
    </row>
    <row r="69" spans="5:7" x14ac:dyDescent="0.4">
      <c r="E69">
        <v>0.69</v>
      </c>
      <c r="F69">
        <f t="shared" si="2"/>
        <v>72100</v>
      </c>
      <c r="G69">
        <f t="shared" si="3"/>
        <v>1.635308172457538E-6</v>
      </c>
    </row>
    <row r="70" spans="5:7" x14ac:dyDescent="0.4">
      <c r="E70">
        <v>0.7</v>
      </c>
      <c r="F70">
        <f t="shared" si="2"/>
        <v>73000</v>
      </c>
      <c r="G70">
        <f t="shared" si="3"/>
        <v>1.5198276062313474E-6</v>
      </c>
    </row>
    <row r="71" spans="5:7" x14ac:dyDescent="0.4">
      <c r="E71">
        <v>0.71</v>
      </c>
      <c r="F71">
        <f t="shared" si="2"/>
        <v>73900</v>
      </c>
      <c r="G71">
        <f t="shared" si="3"/>
        <v>1.4128243221551986E-6</v>
      </c>
    </row>
    <row r="72" spans="5:7" x14ac:dyDescent="0.4">
      <c r="E72">
        <v>0.72</v>
      </c>
      <c r="F72">
        <f t="shared" si="2"/>
        <v>74800</v>
      </c>
      <c r="G72">
        <f t="shared" si="3"/>
        <v>1.3136607560307072E-6</v>
      </c>
    </row>
    <row r="73" spans="5:7" x14ac:dyDescent="0.4">
      <c r="E73">
        <v>0.73</v>
      </c>
      <c r="F73">
        <f t="shared" si="2"/>
        <v>75700</v>
      </c>
      <c r="G73">
        <f t="shared" si="3"/>
        <v>1.2217473736293911E-6</v>
      </c>
    </row>
    <row r="74" spans="5:7" x14ac:dyDescent="0.4">
      <c r="E74">
        <v>0.74</v>
      </c>
      <c r="F74">
        <f t="shared" si="2"/>
        <v>76600</v>
      </c>
      <c r="G74">
        <f t="shared" si="3"/>
        <v>1.1365391965805445E-6</v>
      </c>
    </row>
    <row r="75" spans="5:7" x14ac:dyDescent="0.4">
      <c r="E75">
        <v>0.75</v>
      </c>
      <c r="F75">
        <f t="shared" si="2"/>
        <v>77500</v>
      </c>
      <c r="G75">
        <f t="shared" si="3"/>
        <v>1.0575325449527303E-6</v>
      </c>
    </row>
    <row r="76" spans="5:7" x14ac:dyDescent="0.4">
      <c r="E76">
        <v>0.76</v>
      </c>
      <c r="F76">
        <f t="shared" si="2"/>
        <v>78400</v>
      </c>
      <c r="G76">
        <f t="shared" si="3"/>
        <v>9.8426198989515343E-7</v>
      </c>
    </row>
    <row r="77" spans="5:7" x14ac:dyDescent="0.4">
      <c r="E77">
        <v>0.77</v>
      </c>
      <c r="F77">
        <f t="shared" si="2"/>
        <v>79300</v>
      </c>
      <c r="G77">
        <f t="shared" si="3"/>
        <v>9.1629750840471454E-7</v>
      </c>
    </row>
    <row r="78" spans="5:7" x14ac:dyDescent="0.4">
      <c r="E78">
        <v>0.78</v>
      </c>
      <c r="F78">
        <f t="shared" si="2"/>
        <v>80200</v>
      </c>
      <c r="G78">
        <f t="shared" si="3"/>
        <v>8.5324183139323564E-7</v>
      </c>
    </row>
    <row r="79" spans="5:7" x14ac:dyDescent="0.4">
      <c r="E79">
        <v>0.79</v>
      </c>
      <c r="F79">
        <f t="shared" si="2"/>
        <v>81100</v>
      </c>
      <c r="G79">
        <f t="shared" si="3"/>
        <v>7.9472797566364601E-7</v>
      </c>
    </row>
    <row r="80" spans="5:7" x14ac:dyDescent="0.4">
      <c r="E80">
        <v>0.8</v>
      </c>
      <c r="F80">
        <f t="shared" si="2"/>
        <v>82000</v>
      </c>
      <c r="G80">
        <f t="shared" si="3"/>
        <v>7.4041695009785984E-7</v>
      </c>
    </row>
    <row r="81" spans="5:7" x14ac:dyDescent="0.4">
      <c r="E81">
        <v>0.81</v>
      </c>
      <c r="F81">
        <f t="shared" si="2"/>
        <v>82900</v>
      </c>
      <c r="G81">
        <f t="shared" si="3"/>
        <v>6.8999562625536961E-7</v>
      </c>
    </row>
    <row r="82" spans="5:7" x14ac:dyDescent="0.4">
      <c r="E82">
        <v>0.82</v>
      </c>
      <c r="F82">
        <f t="shared" si="2"/>
        <v>83800</v>
      </c>
      <c r="G82">
        <f t="shared" si="3"/>
        <v>6.4317476363568507E-7</v>
      </c>
    </row>
    <row r="83" spans="5:7" x14ac:dyDescent="0.4">
      <c r="E83">
        <v>0.83</v>
      </c>
      <c r="F83">
        <f t="shared" si="2"/>
        <v>84700</v>
      </c>
      <c r="G83">
        <f t="shared" si="3"/>
        <v>5.9968718003200157E-7</v>
      </c>
    </row>
    <row r="84" spans="5:7" x14ac:dyDescent="0.4">
      <c r="E84">
        <v>0.84</v>
      </c>
      <c r="F84">
        <f t="shared" si="2"/>
        <v>85600</v>
      </c>
      <c r="G84">
        <f t="shared" si="3"/>
        <v>5.5928605766765733E-7</v>
      </c>
    </row>
    <row r="85" spans="5:7" x14ac:dyDescent="0.4">
      <c r="E85">
        <v>0.85</v>
      </c>
      <c r="F85">
        <f t="shared" si="2"/>
        <v>86500</v>
      </c>
      <c r="G85">
        <f t="shared" si="3"/>
        <v>5.2174337613672364E-7</v>
      </c>
    </row>
    <row r="86" spans="5:7" x14ac:dyDescent="0.4">
      <c r="E86">
        <v>0.86</v>
      </c>
      <c r="F86">
        <f t="shared" si="2"/>
        <v>87400</v>
      </c>
      <c r="G86">
        <f t="shared" si="3"/>
        <v>4.8684846354527564E-7</v>
      </c>
    </row>
    <row r="87" spans="5:7" x14ac:dyDescent="0.4">
      <c r="E87">
        <v>0.87</v>
      </c>
      <c r="F87">
        <f t="shared" si="2"/>
        <v>88300</v>
      </c>
      <c r="G87">
        <f t="shared" si="3"/>
        <v>4.5440665765565258E-7</v>
      </c>
    </row>
    <row r="88" spans="5:7" x14ac:dyDescent="0.4">
      <c r="E88">
        <v>0.88</v>
      </c>
      <c r="F88">
        <f t="shared" si="2"/>
        <v>89200</v>
      </c>
      <c r="G88">
        <f t="shared" si="3"/>
        <v>4.2423806925841543E-7</v>
      </c>
    </row>
    <row r="89" spans="5:7" x14ac:dyDescent="0.4">
      <c r="E89">
        <v>0.89</v>
      </c>
      <c r="F89">
        <f t="shared" si="2"/>
        <v>90100</v>
      </c>
      <c r="G89">
        <f t="shared" si="3"/>
        <v>3.961764404275764E-7</v>
      </c>
    </row>
    <row r="90" spans="5:7" x14ac:dyDescent="0.4">
      <c r="E90">
        <v>0.9</v>
      </c>
      <c r="F90">
        <f t="shared" si="2"/>
        <v>91000</v>
      </c>
      <c r="G90">
        <f t="shared" si="3"/>
        <v>3.7006809074466815E-7</v>
      </c>
    </row>
    <row r="91" spans="5:7" x14ac:dyDescent="0.4">
      <c r="E91">
        <v>0.91</v>
      </c>
      <c r="F91">
        <f t="shared" si="2"/>
        <v>91900</v>
      </c>
      <c r="G91">
        <f t="shared" si="3"/>
        <v>3.4577094500173307E-7</v>
      </c>
    </row>
    <row r="92" spans="5:7" x14ac:dyDescent="0.4">
      <c r="E92">
        <v>0.92</v>
      </c>
      <c r="F92">
        <f t="shared" si="2"/>
        <v>92800</v>
      </c>
      <c r="G92">
        <f t="shared" si="3"/>
        <v>3.2315363630736823E-7</v>
      </c>
    </row>
    <row r="93" spans="5:7" x14ac:dyDescent="0.4">
      <c r="E93">
        <v>0.93</v>
      </c>
      <c r="F93">
        <f t="shared" si="2"/>
        <v>93700</v>
      </c>
      <c r="G93">
        <f t="shared" si="3"/>
        <v>3.0209467891993893E-7</v>
      </c>
    </row>
    <row r="94" spans="5:7" x14ac:dyDescent="0.4">
      <c r="E94">
        <v>0.94</v>
      </c>
      <c r="F94">
        <f t="shared" si="2"/>
        <v>94600</v>
      </c>
      <c r="G94">
        <f t="shared" si="3"/>
        <v>2.8248170551675761E-7</v>
      </c>
    </row>
    <row r="95" spans="5:7" x14ac:dyDescent="0.4">
      <c r="E95">
        <v>0.95</v>
      </c>
      <c r="F95">
        <f t="shared" si="2"/>
        <v>95500</v>
      </c>
      <c r="G95">
        <f t="shared" si="3"/>
        <v>2.642107639744596E-7</v>
      </c>
    </row>
    <row r="96" spans="5:7" x14ac:dyDescent="0.4">
      <c r="E96">
        <v>0.96</v>
      </c>
      <c r="F96">
        <f t="shared" si="2"/>
        <v>96400</v>
      </c>
      <c r="G96">
        <f t="shared" si="3"/>
        <v>2.4718566908430126E-7</v>
      </c>
    </row>
    <row r="97" spans="5:7" x14ac:dyDescent="0.4">
      <c r="E97">
        <v>0.97</v>
      </c>
      <c r="F97">
        <f t="shared" si="2"/>
        <v>97300</v>
      </c>
      <c r="G97">
        <f t="shared" si="3"/>
        <v>2.3131740495532303E-7</v>
      </c>
    </row>
    <row r="98" spans="5:7" x14ac:dyDescent="0.4">
      <c r="E98">
        <v>0.98</v>
      </c>
      <c r="F98">
        <f t="shared" si="2"/>
        <v>98200</v>
      </c>
      <c r="G98">
        <f t="shared" si="3"/>
        <v>2.165235741686665E-7</v>
      </c>
    </row>
    <row r="99" spans="5:7" x14ac:dyDescent="0.4">
      <c r="E99">
        <v>0.99</v>
      </c>
      <c r="F99">
        <f t="shared" si="2"/>
        <v>99100</v>
      </c>
      <c r="G99">
        <f t="shared" si="3"/>
        <v>2.0272789003764769E-7</v>
      </c>
    </row>
    <row r="100" spans="5:7" x14ac:dyDescent="0.4">
      <c r="E100">
        <v>1</v>
      </c>
      <c r="F100">
        <f t="shared" si="2"/>
        <v>100000</v>
      </c>
      <c r="G100">
        <f t="shared" si="3"/>
        <v>1.8985970860120067E-7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Normal</vt:lpstr>
      <vt:lpstr>LogNormal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2017-10-12T00:38:48Z</dcterms:created>
  <dcterms:modified xsi:type="dcterms:W3CDTF">2017-10-12T02:40:13Z</dcterms:modified>
</cp:coreProperties>
</file>